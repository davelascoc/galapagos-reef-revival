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tudusfqedu-my.sharepoint.com/personal/davelasco_estud_usfq_edu_ec/Documents/Proyectos/Marine Ecology Lab/Corales Isabela - Reef Revival/Datos/Originales/"/>
    </mc:Choice>
  </mc:AlternateContent>
  <xr:revisionPtr revIDLastSave="20" documentId="8_{3DC4AADC-106C-C24E-9577-5EA1595CDB79}" xr6:coauthVersionLast="47" xr6:coauthVersionMax="47" xr10:uidLastSave="{52359C92-6C4A-4470-9CCA-5608613D6FAB}"/>
  <bookViews>
    <workbookView xWindow="-120" yWindow="-120" windowWidth="20730" windowHeight="11040" xr2:uid="{6DD9B3A5-782F-B447-8544-CBB7BC3B66A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D13" i="1"/>
  <c r="E13" i="1"/>
  <c r="F13" i="1"/>
  <c r="G13" i="1"/>
  <c r="H13" i="1"/>
  <c r="I13" i="1"/>
  <c r="J13" i="1"/>
  <c r="K13" i="1"/>
  <c r="L13" i="1"/>
  <c r="M13" i="1"/>
  <c r="B13" i="1"/>
  <c r="C12" i="1"/>
  <c r="D12" i="1"/>
  <c r="E12" i="1"/>
  <c r="F12" i="1"/>
  <c r="G12" i="1"/>
  <c r="H12" i="1"/>
  <c r="I12" i="1"/>
  <c r="J12" i="1"/>
  <c r="K12" i="1"/>
  <c r="L12" i="1"/>
  <c r="M12" i="1"/>
  <c r="B12" i="1"/>
  <c r="C11" i="1"/>
  <c r="D11" i="1"/>
  <c r="E11" i="1"/>
  <c r="F11" i="1"/>
  <c r="G11" i="1"/>
  <c r="H11" i="1"/>
  <c r="I11" i="1"/>
  <c r="J11" i="1"/>
  <c r="K11" i="1"/>
  <c r="L11" i="1"/>
  <c r="M11" i="1"/>
  <c r="B11" i="1"/>
</calcChain>
</file>

<file path=xl/sharedStrings.xml><?xml version="1.0" encoding="utf-8"?>
<sst xmlns="http://schemas.openxmlformats.org/spreadsheetml/2006/main" count="47" uniqueCount="26">
  <si>
    <t>Genotype Live Tissue (%)</t>
  </si>
  <si>
    <t>Month</t>
  </si>
  <si>
    <t>P7</t>
  </si>
  <si>
    <t>P5</t>
  </si>
  <si>
    <t>P10</t>
  </si>
  <si>
    <t>P6</t>
  </si>
  <si>
    <t>P13</t>
  </si>
  <si>
    <t>P2</t>
  </si>
  <si>
    <t>P4</t>
  </si>
  <si>
    <t>P?4</t>
  </si>
  <si>
    <t>PAC-PD</t>
  </si>
  <si>
    <t>P19</t>
  </si>
  <si>
    <t>P14</t>
  </si>
  <si>
    <t>P9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</si>
  <si>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</si>
  <si>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</si>
  <si>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</si>
  <si>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</si>
  <si>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</si>
  <si>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</si>
  <si>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</si>
  <si>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</si>
  <si>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meanWarm</t>
  </si>
  <si>
    <t>meanCold</t>
  </si>
  <si>
    <t>meannet</t>
  </si>
  <si>
    <t>Genotype Mortality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</si>
</sst>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4" xfId="0" applyFont="1" applyBorder="1" applyAlignment="1">
      <alignment horizontal="justify" vertical="center"/>
    </xf>
    <xf numFmtId="0" fontId="2" fillId="0" borderId="5" xfId="0" applyFont="1" applyBorder="1" applyAlignment="1">
      <alignment horizontal="justify" vertical="center"/>
    </xf>
    <xf numFmtId="0" fontId="3" fillId="0" borderId="4" xfId="0" applyFont="1" applyBorder="1" applyAlignment="1">
      <alignment horizontal="justify" vertical="center"/>
    </xf>
    <xf numFmtId="0" fontId="3" fillId="0" borderId="5" xfId="0" applyFont="1" applyBorder="1" applyAlignment="1">
      <alignment horizontal="justify" vertical="center"/>
    </xf>
    <xf numFmtId="0" fontId="3" fillId="0" borderId="7" xfId="0" applyFont="1" applyBorder="1" applyAlignment="1">
      <alignment horizontal="justify" vertical="center"/>
    </xf>
    <xf numFmtId="0" fontId="2" fillId="0" borderId="6" xfId="0" applyFont="1" applyBorder="1" applyAlignment="1">
      <alignment horizontal="justify" vertical="center"/>
    </xf>
    <xf numFmtId="0" fontId="2" fillId="0" borderId="3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7EB4-5092-6341-9F9E-95E4EAF86207}">
  <dimension ref="A1:M24"/>
  <sheetViews>
    <sheetView tabSelected="1" workbookViewId="0">
      <selection activeCell="G6" sqref="G6"/>
    </sheetView>
  </sheetViews>
  <sheetFormatPr defaultColWidth="11" defaultRowHeight="15.75"/>
  <sheetData>
    <row r="1" spans="1:13" ht="16.5" thickBot="1">
      <c r="A1" s="1"/>
      <c r="B1" s="7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pans="1:13" ht="16.5" thickBo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16.5" thickBot="1">
      <c r="A3" s="4" t="s">
        <v>14</v>
      </c>
      <c r="B3" s="5">
        <v>78.3</v>
      </c>
      <c r="C3" s="5">
        <v>98.5</v>
      </c>
      <c r="D3" s="5">
        <v>88.6</v>
      </c>
      <c r="E3" s="5">
        <v>95</v>
      </c>
      <c r="F3" s="5">
        <v>90</v>
      </c>
      <c r="G3" s="5">
        <v>67</v>
      </c>
      <c r="H3" s="5">
        <v>89</v>
      </c>
      <c r="I3" s="5">
        <v>80</v>
      </c>
      <c r="J3" s="5">
        <v>96.9</v>
      </c>
      <c r="K3" s="5">
        <v>92</v>
      </c>
      <c r="L3" s="5">
        <v>87</v>
      </c>
      <c r="M3" s="5">
        <v>98.5</v>
      </c>
    </row>
    <row r="4" spans="1:13" ht="16.5" thickBot="1">
      <c r="A4" s="4" t="s">
        <v>15</v>
      </c>
      <c r="B4" s="5">
        <v>83.3</v>
      </c>
      <c r="C4" s="5">
        <v>100</v>
      </c>
      <c r="D4" s="5">
        <v>91.7</v>
      </c>
      <c r="E4" s="5">
        <v>95</v>
      </c>
      <c r="F4" s="5">
        <v>89</v>
      </c>
      <c r="G4" s="5">
        <v>69</v>
      </c>
      <c r="H4" s="5">
        <v>93</v>
      </c>
      <c r="I4" s="5">
        <v>48.6</v>
      </c>
      <c r="J4" s="5">
        <v>83</v>
      </c>
      <c r="K4" s="5">
        <v>94</v>
      </c>
      <c r="L4" s="5">
        <v>87.2</v>
      </c>
      <c r="M4" s="5">
        <v>96.5</v>
      </c>
    </row>
    <row r="5" spans="1:13" ht="16.5" thickBot="1">
      <c r="A5" s="4" t="s">
        <v>16</v>
      </c>
      <c r="B5" s="5">
        <v>79.099999999999994</v>
      </c>
      <c r="C5" s="5">
        <v>100</v>
      </c>
      <c r="D5" s="5">
        <v>83.6</v>
      </c>
      <c r="E5" s="5">
        <v>100</v>
      </c>
      <c r="F5" s="5">
        <v>92.9</v>
      </c>
      <c r="G5" s="5">
        <v>71.8</v>
      </c>
      <c r="H5" s="5">
        <v>92</v>
      </c>
      <c r="I5" s="5">
        <v>52.6</v>
      </c>
      <c r="J5" s="5">
        <v>81</v>
      </c>
      <c r="K5" s="5">
        <v>94</v>
      </c>
      <c r="L5" s="5">
        <v>82.4</v>
      </c>
      <c r="M5" s="5">
        <v>97.2</v>
      </c>
    </row>
    <row r="6" spans="1:13" ht="16.5" thickBot="1">
      <c r="A6" s="4" t="s">
        <v>17</v>
      </c>
      <c r="B6" s="5">
        <v>82.7</v>
      </c>
      <c r="C6" s="5">
        <v>100</v>
      </c>
      <c r="D6" s="5">
        <v>85.5</v>
      </c>
      <c r="E6" s="5">
        <v>100</v>
      </c>
      <c r="F6" s="5">
        <v>92.4</v>
      </c>
      <c r="G6" s="5">
        <v>72.400000000000006</v>
      </c>
      <c r="H6" s="5">
        <v>89.5</v>
      </c>
      <c r="I6" s="5">
        <v>50</v>
      </c>
      <c r="J6" s="5">
        <v>79</v>
      </c>
      <c r="K6" s="5">
        <v>96</v>
      </c>
      <c r="L6" s="5">
        <v>80</v>
      </c>
      <c r="M6" s="5">
        <v>97.3</v>
      </c>
    </row>
    <row r="7" spans="1:13" ht="16.5" thickBot="1">
      <c r="A7" s="4" t="s">
        <v>18</v>
      </c>
      <c r="B7" s="5">
        <v>72.7</v>
      </c>
      <c r="C7" s="5">
        <v>100</v>
      </c>
      <c r="D7" s="5">
        <v>74.5</v>
      </c>
      <c r="E7" s="5">
        <v>100</v>
      </c>
      <c r="F7" s="5">
        <v>71.2</v>
      </c>
      <c r="G7" s="5">
        <v>67.099999999999994</v>
      </c>
      <c r="H7" s="5">
        <v>84.5</v>
      </c>
      <c r="I7" s="5">
        <v>30</v>
      </c>
      <c r="J7" s="5">
        <v>69</v>
      </c>
      <c r="K7" s="5">
        <v>95.3</v>
      </c>
      <c r="L7" s="5">
        <v>78.2</v>
      </c>
      <c r="M7" s="5">
        <v>97.3</v>
      </c>
    </row>
    <row r="8" spans="1:13" ht="16.5" thickBot="1">
      <c r="A8" s="4" t="s">
        <v>19</v>
      </c>
      <c r="B8" s="5">
        <v>80</v>
      </c>
      <c r="C8" s="5">
        <v>97.2</v>
      </c>
      <c r="D8" s="5">
        <v>60.9</v>
      </c>
      <c r="E8" s="5">
        <v>96.7</v>
      </c>
      <c r="F8" s="5">
        <v>62.4</v>
      </c>
      <c r="G8" s="5">
        <v>61.2</v>
      </c>
      <c r="H8" s="5">
        <v>70</v>
      </c>
      <c r="I8" s="5">
        <v>28.3</v>
      </c>
      <c r="J8" s="5">
        <v>40</v>
      </c>
      <c r="K8" s="5">
        <v>95.1</v>
      </c>
      <c r="L8" s="5">
        <v>67.599999999999994</v>
      </c>
      <c r="M8" s="5">
        <v>94.9</v>
      </c>
    </row>
    <row r="9" spans="1:13" ht="16.5" thickBot="1">
      <c r="A9" s="4" t="s">
        <v>20</v>
      </c>
      <c r="B9" s="5">
        <v>77.3</v>
      </c>
      <c r="C9" s="5">
        <v>96.4</v>
      </c>
      <c r="D9" s="5">
        <v>63.6</v>
      </c>
      <c r="E9" s="5">
        <v>90</v>
      </c>
      <c r="F9" s="5">
        <v>59.4</v>
      </c>
      <c r="G9" s="5">
        <v>56.5</v>
      </c>
      <c r="H9" s="5">
        <v>64.5</v>
      </c>
      <c r="I9" s="5">
        <v>23.3</v>
      </c>
      <c r="J9" s="5">
        <v>10</v>
      </c>
      <c r="K9" s="5">
        <v>99.2</v>
      </c>
      <c r="L9" s="5">
        <v>70.599999999999994</v>
      </c>
      <c r="M9" s="5">
        <v>92.6</v>
      </c>
    </row>
    <row r="10" spans="1:13" ht="16.5" thickBot="1">
      <c r="A10" s="4" t="s">
        <v>21</v>
      </c>
      <c r="B10" s="5">
        <v>83.6</v>
      </c>
      <c r="C10" s="5">
        <v>96.8</v>
      </c>
      <c r="D10" s="5">
        <v>58.2</v>
      </c>
      <c r="E10" s="5">
        <v>93.3</v>
      </c>
      <c r="F10" s="5">
        <v>54.1</v>
      </c>
      <c r="G10" s="5">
        <v>57.6</v>
      </c>
      <c r="H10" s="5">
        <v>67.5</v>
      </c>
      <c r="I10" s="5">
        <v>23.3</v>
      </c>
      <c r="J10" s="5">
        <v>10</v>
      </c>
      <c r="K10" s="5">
        <v>96</v>
      </c>
      <c r="L10" s="5">
        <v>71.8</v>
      </c>
      <c r="M10" s="5">
        <v>95.7</v>
      </c>
    </row>
    <row r="11" spans="1:13">
      <c r="A11" s="6" t="s">
        <v>22</v>
      </c>
      <c r="B11">
        <f>AVERAGE(B3:B4)</f>
        <v>80.8</v>
      </c>
      <c r="C11">
        <f t="shared" ref="C11:M11" si="0">AVERAGE(C3:C4)</f>
        <v>99.25</v>
      </c>
      <c r="D11">
        <f t="shared" si="0"/>
        <v>90.15</v>
      </c>
      <c r="E11">
        <f t="shared" si="0"/>
        <v>95</v>
      </c>
      <c r="F11">
        <f t="shared" si="0"/>
        <v>89.5</v>
      </c>
      <c r="G11">
        <f t="shared" si="0"/>
        <v>68</v>
      </c>
      <c r="H11">
        <f t="shared" si="0"/>
        <v>91</v>
      </c>
      <c r="I11">
        <f t="shared" si="0"/>
        <v>64.3</v>
      </c>
      <c r="J11">
        <f t="shared" si="0"/>
        <v>89.95</v>
      </c>
      <c r="K11">
        <f t="shared" si="0"/>
        <v>93</v>
      </c>
      <c r="L11">
        <f t="shared" si="0"/>
        <v>87.1</v>
      </c>
      <c r="M11">
        <f t="shared" si="0"/>
        <v>97.5</v>
      </c>
    </row>
    <row r="12" spans="1:13">
      <c r="A12" s="6" t="s">
        <v>23</v>
      </c>
      <c r="B12">
        <f>AVERAGE(B5:B10)</f>
        <v>79.233333333333334</v>
      </c>
      <c r="C12">
        <f t="shared" ref="C12:M12" si="1">AVERAGE(C5:C10)</f>
        <v>98.399999999999991</v>
      </c>
      <c r="D12">
        <f t="shared" si="1"/>
        <v>71.05</v>
      </c>
      <c r="E12">
        <f t="shared" si="1"/>
        <v>96.666666666666671</v>
      </c>
      <c r="F12">
        <f t="shared" si="1"/>
        <v>72.066666666666663</v>
      </c>
      <c r="G12">
        <f t="shared" si="1"/>
        <v>64.433333333333337</v>
      </c>
      <c r="H12">
        <f t="shared" si="1"/>
        <v>78</v>
      </c>
      <c r="I12">
        <f t="shared" si="1"/>
        <v>34.583333333333336</v>
      </c>
      <c r="J12">
        <f t="shared" si="1"/>
        <v>48.166666666666664</v>
      </c>
      <c r="K12">
        <f t="shared" si="1"/>
        <v>95.933333333333323</v>
      </c>
      <c r="L12">
        <f t="shared" si="1"/>
        <v>75.100000000000009</v>
      </c>
      <c r="M12">
        <f t="shared" si="1"/>
        <v>95.833333333333357</v>
      </c>
    </row>
    <row r="13" spans="1:13">
      <c r="A13" s="6" t="s">
        <v>24</v>
      </c>
      <c r="B13">
        <f>AVERAGE(B3:B10)</f>
        <v>79.625</v>
      </c>
      <c r="C13">
        <f t="shared" ref="C13:M13" si="2">AVERAGE(C3:C10)</f>
        <v>98.612499999999997</v>
      </c>
      <c r="D13">
        <f t="shared" si="2"/>
        <v>75.825000000000003</v>
      </c>
      <c r="E13">
        <f t="shared" si="2"/>
        <v>96.25</v>
      </c>
      <c r="F13">
        <f t="shared" si="2"/>
        <v>76.424999999999997</v>
      </c>
      <c r="G13">
        <f t="shared" si="2"/>
        <v>65.325000000000003</v>
      </c>
      <c r="H13">
        <f t="shared" si="2"/>
        <v>81.25</v>
      </c>
      <c r="I13">
        <f t="shared" si="2"/>
        <v>42.012500000000003</v>
      </c>
      <c r="J13">
        <f t="shared" si="2"/>
        <v>58.612499999999997</v>
      </c>
      <c r="K13">
        <f t="shared" si="2"/>
        <v>95.2</v>
      </c>
      <c r="L13">
        <f t="shared" si="2"/>
        <v>78.099999999999994</v>
      </c>
      <c r="M13">
        <f t="shared" si="2"/>
        <v>96.250000000000014</v>
      </c>
    </row>
    <row r="14" spans="1:13" ht="16.5" thickBot="1"/>
    <row r="15" spans="1:13" ht="16.5" thickBot="1">
      <c r="A15" s="1"/>
      <c r="B15" s="7" t="s">
        <v>25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</row>
    <row r="16" spans="1:13" ht="16.5" thickBot="1">
      <c r="A16" s="2" t="s">
        <v>1</v>
      </c>
      <c r="B16" s="3" t="s">
        <v>9</v>
      </c>
      <c r="C16" s="3" t="s">
        <v>10</v>
      </c>
      <c r="D16" s="3" t="s">
        <v>11</v>
      </c>
      <c r="E16" s="3" t="s">
        <v>12</v>
      </c>
      <c r="F16" s="3" t="s">
        <v>13</v>
      </c>
      <c r="G16" s="3" t="s">
        <v>2</v>
      </c>
      <c r="H16" s="3" t="s">
        <v>3</v>
      </c>
      <c r="I16" s="3" t="s">
        <v>4</v>
      </c>
      <c r="J16" s="3" t="s">
        <v>5</v>
      </c>
      <c r="K16" s="3" t="s">
        <v>6</v>
      </c>
      <c r="L16" s="3" t="s">
        <v>7</v>
      </c>
      <c r="M16" s="3" t="s">
        <v>8</v>
      </c>
    </row>
    <row r="17" spans="1:13" ht="16.5" thickBot="1">
      <c r="A17" s="4" t="s">
        <v>14</v>
      </c>
      <c r="B17" s="5">
        <v>0</v>
      </c>
      <c r="C17" s="5">
        <v>0</v>
      </c>
      <c r="D17" s="5">
        <v>0</v>
      </c>
      <c r="E17" s="5">
        <v>10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10</v>
      </c>
      <c r="L17" s="5">
        <v>20</v>
      </c>
      <c r="M17" s="5">
        <v>5</v>
      </c>
    </row>
    <row r="18" spans="1:13" ht="16.5" thickBot="1">
      <c r="A18" s="4" t="s">
        <v>15</v>
      </c>
      <c r="B18" s="5">
        <v>0</v>
      </c>
      <c r="C18" s="5">
        <v>0</v>
      </c>
      <c r="D18" s="5">
        <v>0</v>
      </c>
      <c r="E18" s="5">
        <v>10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10</v>
      </c>
      <c r="L18" s="5">
        <v>20</v>
      </c>
      <c r="M18" s="5">
        <v>5</v>
      </c>
    </row>
    <row r="19" spans="1:13" ht="16.5" thickBot="1">
      <c r="A19" s="4" t="s">
        <v>16</v>
      </c>
      <c r="B19" s="5">
        <v>0</v>
      </c>
      <c r="C19" s="5">
        <v>0</v>
      </c>
      <c r="D19" s="5">
        <v>0</v>
      </c>
      <c r="E19" s="5">
        <v>10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10</v>
      </c>
      <c r="L19" s="5">
        <v>20</v>
      </c>
      <c r="M19" s="5">
        <v>5</v>
      </c>
    </row>
    <row r="20" spans="1:13" ht="16.5" thickBot="1">
      <c r="A20" s="4" t="s">
        <v>17</v>
      </c>
      <c r="B20" s="5">
        <v>0</v>
      </c>
      <c r="C20" s="5">
        <v>0</v>
      </c>
      <c r="D20" s="5">
        <v>0</v>
      </c>
      <c r="E20" s="5">
        <v>10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10</v>
      </c>
      <c r="L20" s="5">
        <v>20</v>
      </c>
      <c r="M20" s="5">
        <v>5</v>
      </c>
    </row>
    <row r="21" spans="1:13" ht="16.5" thickBot="1">
      <c r="A21" s="4" t="s">
        <v>18</v>
      </c>
      <c r="B21" s="5">
        <v>28.57</v>
      </c>
      <c r="C21" s="5">
        <v>7.69</v>
      </c>
      <c r="D21" s="5">
        <v>2.5</v>
      </c>
      <c r="E21" s="5">
        <v>10</v>
      </c>
      <c r="F21" s="5">
        <v>0</v>
      </c>
      <c r="G21" s="5">
        <v>8.33</v>
      </c>
      <c r="H21" s="5">
        <v>0</v>
      </c>
      <c r="I21" s="5">
        <v>7.14</v>
      </c>
      <c r="J21" s="5">
        <v>0</v>
      </c>
      <c r="K21" s="5">
        <v>10</v>
      </c>
      <c r="L21" s="5">
        <v>20</v>
      </c>
      <c r="M21" s="5">
        <v>5</v>
      </c>
    </row>
    <row r="22" spans="1:13" ht="16.5" thickBot="1">
      <c r="A22" s="4" t="s">
        <v>19</v>
      </c>
      <c r="B22" s="5">
        <v>28.57</v>
      </c>
      <c r="C22" s="5">
        <v>7.69</v>
      </c>
      <c r="D22" s="5">
        <v>2.5</v>
      </c>
      <c r="E22" s="5">
        <v>10</v>
      </c>
      <c r="F22" s="5">
        <v>0</v>
      </c>
      <c r="G22" s="5">
        <v>8.33</v>
      </c>
      <c r="H22" s="5">
        <v>0</v>
      </c>
      <c r="I22" s="5">
        <v>7.14</v>
      </c>
      <c r="J22" s="5">
        <v>0</v>
      </c>
      <c r="K22" s="5">
        <v>20</v>
      </c>
      <c r="L22" s="5">
        <v>20</v>
      </c>
      <c r="M22" s="5">
        <v>15</v>
      </c>
    </row>
    <row r="23" spans="1:13" ht="16.5" thickBot="1">
      <c r="A23" s="4" t="s">
        <v>20</v>
      </c>
      <c r="B23" s="5">
        <v>57.14</v>
      </c>
      <c r="C23" s="5">
        <v>61.54</v>
      </c>
      <c r="D23" s="5">
        <v>2.5</v>
      </c>
      <c r="E23" s="5">
        <v>10</v>
      </c>
      <c r="F23" s="5">
        <v>0</v>
      </c>
      <c r="G23" s="5">
        <v>8.33</v>
      </c>
      <c r="H23" s="5">
        <v>0</v>
      </c>
      <c r="I23" s="5">
        <v>7.14</v>
      </c>
      <c r="J23" s="5">
        <v>0</v>
      </c>
      <c r="K23" s="5">
        <v>25</v>
      </c>
      <c r="L23" s="5">
        <v>20</v>
      </c>
      <c r="M23" s="5">
        <v>15</v>
      </c>
    </row>
    <row r="24" spans="1:13" ht="16.5" thickBot="1">
      <c r="A24" s="4" t="s">
        <v>21</v>
      </c>
      <c r="B24" s="5">
        <v>57.14</v>
      </c>
      <c r="C24" s="5">
        <v>69.23</v>
      </c>
      <c r="D24" s="5">
        <v>2.5</v>
      </c>
      <c r="E24" s="5">
        <v>10</v>
      </c>
      <c r="F24" s="5">
        <v>0</v>
      </c>
      <c r="G24" s="5">
        <v>8.33</v>
      </c>
      <c r="H24" s="5">
        <v>0</v>
      </c>
      <c r="I24" s="5">
        <v>21.43</v>
      </c>
      <c r="J24" s="5">
        <v>0</v>
      </c>
      <c r="K24" s="5">
        <v>30</v>
      </c>
      <c r="L24" s="5">
        <v>20</v>
      </c>
      <c r="M24" s="5">
        <v>20</v>
      </c>
    </row>
  </sheetData>
  <mergeCells count="2">
    <mergeCell ref="B1:M1"/>
    <mergeCell ref="B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Davalos</dc:creator>
  <cp:keywords/>
  <dc:description/>
  <cp:lastModifiedBy>Margarita Brandt</cp:lastModifiedBy>
  <cp:revision/>
  <dcterms:created xsi:type="dcterms:W3CDTF">2024-03-01T00:07:35Z</dcterms:created>
  <dcterms:modified xsi:type="dcterms:W3CDTF">2024-11-29T14:59:46Z</dcterms:modified>
  <cp:category/>
  <cp:contentStatus/>
</cp:coreProperties>
</file>