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9653deb143d92c/USFQ/Research/Marine Ecology/Reef Revival/Coral Performance/2022 Pilot Corals/Datos/Originales/"/>
    </mc:Choice>
  </mc:AlternateContent>
  <xr:revisionPtr revIDLastSave="98" documentId="13_ncr:1_{D76A0F49-45E6-984E-A2C0-FF1179C2E09C}" xr6:coauthVersionLast="47" xr6:coauthVersionMax="47" xr10:uidLastSave="{C0D575D1-DE5D-46BE-A4E4-628F84AD5E60}"/>
  <bookViews>
    <workbookView xWindow="-120" yWindow="-120" windowWidth="20730" windowHeight="11040" xr2:uid="{137D13C7-0BDD-AD45-83EF-A34B763E42FF}"/>
  </bookViews>
  <sheets>
    <sheet name="ENERO 2022" sheetId="4" r:id="rId1"/>
    <sheet name="JUNIO 2022" sheetId="3" r:id="rId2"/>
    <sheet name="ENERO 2023" sheetId="2" r:id="rId3"/>
    <sheet name="Promedios" sheetId="6" r:id="rId4"/>
    <sheet name="Crecimiento" sheetId="8" r:id="rId5"/>
    <sheet name="TODOS" sheetId="5" r:id="rId6"/>
  </sheets>
  <definedNames>
    <definedName name="_xlnm._FilterDatabase" localSheetId="0" hidden="1">'ENERO 2022'!$D$3:$D$45</definedName>
    <definedName name="_xlnm._FilterDatabase" localSheetId="2" hidden="1">'ENERO 2023'!$D$1:$D$752</definedName>
    <definedName name="_xlnm._FilterDatabase" localSheetId="1" hidden="1">'JUNIO 2022'!$D$1:$D$43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34" i="8" l="1"/>
  <c r="AI44" i="8"/>
  <c r="AJ5" i="8"/>
  <c r="AI5" i="8"/>
  <c r="AK46" i="8"/>
  <c r="AJ46" i="8"/>
  <c r="AK45" i="8"/>
  <c r="AJ45" i="8"/>
  <c r="AI45" i="8"/>
  <c r="BD44" i="8"/>
  <c r="BC44" i="8"/>
  <c r="BB44" i="8"/>
  <c r="AK44" i="8"/>
  <c r="AJ44" i="8"/>
  <c r="BD43" i="8"/>
  <c r="BC43" i="8"/>
  <c r="BB43" i="8"/>
  <c r="AK43" i="8"/>
  <c r="AJ43" i="8"/>
  <c r="AI43" i="8"/>
  <c r="BD42" i="8"/>
  <c r="BC42" i="8"/>
  <c r="BB42" i="8"/>
  <c r="AK42" i="8"/>
  <c r="AJ42" i="8"/>
  <c r="AI42" i="8"/>
  <c r="BD41" i="8"/>
  <c r="BC41" i="8"/>
  <c r="BB41" i="8"/>
  <c r="AK41" i="8"/>
  <c r="AJ41" i="8"/>
  <c r="AI41" i="8"/>
  <c r="BD40" i="8"/>
  <c r="BC40" i="8"/>
  <c r="BB40" i="8"/>
  <c r="AK40" i="8"/>
  <c r="AJ40" i="8"/>
  <c r="AI40" i="8"/>
  <c r="BD39" i="8"/>
  <c r="BC39" i="8"/>
  <c r="BB39" i="8"/>
  <c r="AK39" i="8"/>
  <c r="AJ39" i="8"/>
  <c r="AI39" i="8"/>
  <c r="BD38" i="8"/>
  <c r="BC38" i="8"/>
  <c r="BB38" i="8"/>
  <c r="AK38" i="8"/>
  <c r="AJ38" i="8"/>
  <c r="AI38" i="8"/>
  <c r="BD37" i="8"/>
  <c r="BC37" i="8"/>
  <c r="BB37" i="8"/>
  <c r="AK37" i="8"/>
  <c r="AJ37" i="8"/>
  <c r="AI37" i="8"/>
  <c r="BD36" i="8"/>
  <c r="BC36" i="8"/>
  <c r="BB36" i="8"/>
  <c r="AK36" i="8"/>
  <c r="AJ36" i="8"/>
  <c r="AI36" i="8"/>
  <c r="BD35" i="8"/>
  <c r="BC35" i="8"/>
  <c r="BB35" i="8"/>
  <c r="AK35" i="8"/>
  <c r="AJ35" i="8"/>
  <c r="AI35" i="8"/>
  <c r="BD34" i="8"/>
  <c r="BC34" i="8"/>
  <c r="BB34" i="8"/>
  <c r="AJ34" i="8"/>
  <c r="AI34" i="8"/>
  <c r="BD33" i="8"/>
  <c r="BC33" i="8"/>
  <c r="BB33" i="8"/>
  <c r="AK33" i="8"/>
  <c r="AJ33" i="8"/>
  <c r="AI33" i="8"/>
  <c r="BD32" i="8"/>
  <c r="BC32" i="8"/>
  <c r="BB32" i="8"/>
  <c r="AK32" i="8"/>
  <c r="AJ32" i="8"/>
  <c r="AI32" i="8"/>
  <c r="BD31" i="8"/>
  <c r="BC31" i="8"/>
  <c r="BB31" i="8"/>
  <c r="AK31" i="8"/>
  <c r="AJ31" i="8"/>
  <c r="AI31" i="8"/>
  <c r="BD30" i="8"/>
  <c r="BC30" i="8"/>
  <c r="BB30" i="8"/>
  <c r="AK30" i="8"/>
  <c r="AJ30" i="8"/>
  <c r="AI30" i="8"/>
  <c r="BD29" i="8"/>
  <c r="BC29" i="8"/>
  <c r="BB29" i="8"/>
  <c r="AK29" i="8"/>
  <c r="AJ29" i="8"/>
  <c r="AI29" i="8"/>
  <c r="BD28" i="8"/>
  <c r="BC28" i="8"/>
  <c r="BB28" i="8"/>
  <c r="AK28" i="8"/>
  <c r="AJ28" i="8"/>
  <c r="AI28" i="8"/>
  <c r="BD27" i="8"/>
  <c r="BC27" i="8"/>
  <c r="BB27" i="8"/>
  <c r="AK27" i="8"/>
  <c r="AJ27" i="8"/>
  <c r="AI27" i="8"/>
  <c r="BD26" i="8"/>
  <c r="BC26" i="8"/>
  <c r="BB26" i="8"/>
  <c r="AK26" i="8"/>
  <c r="AJ26" i="8"/>
  <c r="AI26" i="8"/>
  <c r="BD25" i="8"/>
  <c r="BC25" i="8"/>
  <c r="BB25" i="8"/>
  <c r="AK25" i="8"/>
  <c r="AJ25" i="8"/>
  <c r="AI25" i="8"/>
  <c r="BD24" i="8"/>
  <c r="BC24" i="8"/>
  <c r="BB24" i="8"/>
  <c r="AK24" i="8"/>
  <c r="AJ24" i="8"/>
  <c r="AI24" i="8"/>
  <c r="BD23" i="8"/>
  <c r="BC23" i="8"/>
  <c r="BB23" i="8"/>
  <c r="AK23" i="8"/>
  <c r="AJ23" i="8"/>
  <c r="AI23" i="8"/>
  <c r="BD22" i="8"/>
  <c r="BC22" i="8"/>
  <c r="BB22" i="8"/>
  <c r="AK22" i="8"/>
  <c r="AJ22" i="8"/>
  <c r="AI22" i="8"/>
  <c r="BD21" i="8"/>
  <c r="BC21" i="8"/>
  <c r="BB21" i="8"/>
  <c r="AK21" i="8"/>
  <c r="AJ21" i="8"/>
  <c r="AI21" i="8"/>
  <c r="BD20" i="8"/>
  <c r="BC20" i="8"/>
  <c r="BB20" i="8"/>
  <c r="AK20" i="8"/>
  <c r="AJ20" i="8"/>
  <c r="AI20" i="8"/>
  <c r="BD19" i="8"/>
  <c r="BC19" i="8"/>
  <c r="BB19" i="8"/>
  <c r="AK19" i="8"/>
  <c r="AJ19" i="8"/>
  <c r="AI19" i="8"/>
  <c r="BD18" i="8"/>
  <c r="BC18" i="8"/>
  <c r="BB18" i="8"/>
  <c r="AK18" i="8"/>
  <c r="AJ18" i="8"/>
  <c r="AI18" i="8"/>
  <c r="BD17" i="8"/>
  <c r="BC17" i="8"/>
  <c r="BB17" i="8"/>
  <c r="AK17" i="8"/>
  <c r="AJ17" i="8"/>
  <c r="AI17" i="8"/>
  <c r="BD16" i="8"/>
  <c r="BC16" i="8"/>
  <c r="BB16" i="8"/>
  <c r="AK16" i="8"/>
  <c r="AJ16" i="8"/>
  <c r="AI16" i="8"/>
  <c r="BD15" i="8"/>
  <c r="BC15" i="8"/>
  <c r="BB15" i="8"/>
  <c r="AK15" i="8"/>
  <c r="AJ15" i="8"/>
  <c r="AI15" i="8"/>
  <c r="BD14" i="8"/>
  <c r="BC14" i="8"/>
  <c r="BB14" i="8"/>
  <c r="AK14" i="8"/>
  <c r="AJ14" i="8"/>
  <c r="AI14" i="8"/>
  <c r="BD13" i="8"/>
  <c r="BC13" i="8"/>
  <c r="BB13" i="8"/>
  <c r="AK13" i="8"/>
  <c r="AJ13" i="8"/>
  <c r="AI13" i="8"/>
  <c r="BD12" i="8"/>
  <c r="BC12" i="8"/>
  <c r="BB12" i="8"/>
  <c r="AK12" i="8"/>
  <c r="AJ12" i="8"/>
  <c r="AI12" i="8"/>
  <c r="BD11" i="8"/>
  <c r="BC11" i="8"/>
  <c r="BB11" i="8"/>
  <c r="AK11" i="8"/>
  <c r="AJ11" i="8"/>
  <c r="AI11" i="8"/>
  <c r="BD10" i="8"/>
  <c r="BC10" i="8"/>
  <c r="BB10" i="8"/>
  <c r="AK10" i="8"/>
  <c r="AJ10" i="8"/>
  <c r="AI10" i="8"/>
  <c r="BD9" i="8"/>
  <c r="BC9" i="8"/>
  <c r="BB9" i="8"/>
  <c r="AK9" i="8"/>
  <c r="AJ9" i="8"/>
  <c r="AI9" i="8"/>
  <c r="BD8" i="8"/>
  <c r="BC8" i="8"/>
  <c r="BB8" i="8"/>
  <c r="AK8" i="8"/>
  <c r="AJ8" i="8"/>
  <c r="AI8" i="8"/>
  <c r="BD7" i="8"/>
  <c r="BC7" i="8"/>
  <c r="BB7" i="8"/>
  <c r="AK7" i="8"/>
  <c r="AJ7" i="8"/>
  <c r="AI7" i="8"/>
  <c r="BD6" i="8"/>
  <c r="BC6" i="8"/>
  <c r="BB6" i="8"/>
  <c r="AK6" i="8"/>
  <c r="AJ6" i="8"/>
  <c r="AI6" i="8"/>
  <c r="BD5" i="8"/>
  <c r="BC5" i="8"/>
  <c r="BB5" i="8"/>
  <c r="AK5" i="8"/>
  <c r="C19" i="6"/>
  <c r="D19" i="6"/>
  <c r="C20" i="6"/>
  <c r="D20" i="6"/>
  <c r="B20" i="6"/>
  <c r="C18" i="6"/>
  <c r="D18" i="6"/>
  <c r="B19" i="6"/>
  <c r="B18" i="6"/>
  <c r="B17" i="6"/>
  <c r="B7" i="6"/>
  <c r="B15" i="6"/>
  <c r="B16" i="6"/>
  <c r="G7" i="6"/>
  <c r="B9" i="6"/>
  <c r="C9" i="6"/>
  <c r="C17" i="6" s="1"/>
  <c r="D9" i="6"/>
  <c r="D17" i="6" s="1"/>
  <c r="G9" i="6"/>
  <c r="H9" i="6"/>
  <c r="I9" i="6"/>
  <c r="L9" i="6"/>
  <c r="M9" i="6"/>
  <c r="N9" i="6"/>
  <c r="Q9" i="6"/>
  <c r="R9" i="6"/>
  <c r="S9" i="6"/>
  <c r="V9" i="6"/>
  <c r="W9" i="6"/>
  <c r="X9" i="6"/>
  <c r="AA9" i="6"/>
  <c r="AB9" i="6"/>
  <c r="AC9" i="6"/>
  <c r="AF9" i="6"/>
  <c r="AG9" i="6"/>
  <c r="AH9" i="6"/>
  <c r="AK9" i="6"/>
  <c r="AL9" i="6"/>
  <c r="AM9" i="6"/>
  <c r="AP9" i="6"/>
  <c r="AQ9" i="6"/>
  <c r="AR9" i="6"/>
  <c r="AU9" i="6"/>
  <c r="AV9" i="6"/>
  <c r="AW9" i="6"/>
  <c r="AZ9" i="6"/>
  <c r="BA9" i="6"/>
  <c r="BB9" i="6"/>
  <c r="BE9" i="6"/>
  <c r="BF9" i="6"/>
  <c r="BG9" i="6"/>
  <c r="BJ9" i="6"/>
  <c r="BK9" i="6"/>
  <c r="BL9" i="6"/>
  <c r="BO9" i="6"/>
  <c r="BP9" i="6"/>
  <c r="BQ9" i="6"/>
  <c r="BT9" i="6"/>
  <c r="BU9" i="6"/>
  <c r="BV9" i="6"/>
  <c r="B8" i="6"/>
  <c r="AA10" i="6"/>
  <c r="AK12" i="6"/>
  <c r="C12" i="6"/>
  <c r="D12" i="6"/>
  <c r="G12" i="6"/>
  <c r="H12" i="6"/>
  <c r="I12" i="6"/>
  <c r="L12" i="6"/>
  <c r="M12" i="6"/>
  <c r="N12" i="6"/>
  <c r="Q12" i="6"/>
  <c r="R12" i="6"/>
  <c r="S12" i="6"/>
  <c r="V12" i="6"/>
  <c r="W12" i="6"/>
  <c r="X12" i="6"/>
  <c r="AA12" i="6"/>
  <c r="AB12" i="6"/>
  <c r="AC12" i="6"/>
  <c r="AF12" i="6"/>
  <c r="AG12" i="6"/>
  <c r="AH12" i="6"/>
  <c r="AL12" i="6"/>
  <c r="AM12" i="6"/>
  <c r="AP12" i="6"/>
  <c r="AQ12" i="6"/>
  <c r="AR12" i="6"/>
  <c r="AU12" i="6"/>
  <c r="AV12" i="6"/>
  <c r="AW12" i="6"/>
  <c r="AZ12" i="6"/>
  <c r="BA12" i="6"/>
  <c r="BB12" i="6"/>
  <c r="BE12" i="6"/>
  <c r="BF12" i="6"/>
  <c r="BG12" i="6"/>
  <c r="BJ12" i="6"/>
  <c r="BK12" i="6"/>
  <c r="BL12" i="6"/>
  <c r="BO12" i="6"/>
  <c r="BP12" i="6"/>
  <c r="BQ12" i="6"/>
  <c r="BT12" i="6"/>
  <c r="BU12" i="6"/>
  <c r="BV12" i="6"/>
  <c r="B12" i="6"/>
  <c r="C11" i="6"/>
  <c r="D11" i="6"/>
  <c r="G11" i="6"/>
  <c r="H11" i="6"/>
  <c r="I11" i="6"/>
  <c r="L11" i="6"/>
  <c r="M11" i="6"/>
  <c r="N11" i="6"/>
  <c r="Q11" i="6"/>
  <c r="R11" i="6"/>
  <c r="S11" i="6"/>
  <c r="V11" i="6"/>
  <c r="W11" i="6"/>
  <c r="X11" i="6"/>
  <c r="AA11" i="6"/>
  <c r="AB11" i="6"/>
  <c r="AC11" i="6"/>
  <c r="AF11" i="6"/>
  <c r="AG11" i="6"/>
  <c r="AH11" i="6"/>
  <c r="AK11" i="6"/>
  <c r="AL11" i="6"/>
  <c r="AM11" i="6"/>
  <c r="AP11" i="6"/>
  <c r="AQ11" i="6"/>
  <c r="AR11" i="6"/>
  <c r="AU11" i="6"/>
  <c r="AV11" i="6"/>
  <c r="AW11" i="6"/>
  <c r="AZ11" i="6"/>
  <c r="BA11" i="6"/>
  <c r="BB11" i="6"/>
  <c r="BE11" i="6"/>
  <c r="BF11" i="6"/>
  <c r="BG11" i="6"/>
  <c r="BJ11" i="6"/>
  <c r="BK11" i="6"/>
  <c r="BL11" i="6"/>
  <c r="BO11" i="6"/>
  <c r="BP11" i="6"/>
  <c r="BQ11" i="6"/>
  <c r="BT11" i="6"/>
  <c r="BU11" i="6"/>
  <c r="BV11" i="6"/>
  <c r="B11" i="6"/>
  <c r="C10" i="6"/>
  <c r="D10" i="6"/>
  <c r="G10" i="6"/>
  <c r="H10" i="6"/>
  <c r="I10" i="6"/>
  <c r="L10" i="6"/>
  <c r="M10" i="6"/>
  <c r="N10" i="6"/>
  <c r="Q10" i="6"/>
  <c r="R10" i="6"/>
  <c r="S10" i="6"/>
  <c r="V10" i="6"/>
  <c r="W10" i="6"/>
  <c r="X10" i="6"/>
  <c r="AB10" i="6"/>
  <c r="AC10" i="6"/>
  <c r="AF10" i="6"/>
  <c r="AG10" i="6"/>
  <c r="AH10" i="6"/>
  <c r="AK10" i="6"/>
  <c r="AL10" i="6"/>
  <c r="AM10" i="6"/>
  <c r="AP10" i="6"/>
  <c r="AQ10" i="6"/>
  <c r="AR10" i="6"/>
  <c r="AU10" i="6"/>
  <c r="AV10" i="6"/>
  <c r="AW10" i="6"/>
  <c r="AZ10" i="6"/>
  <c r="BA10" i="6"/>
  <c r="BB10" i="6"/>
  <c r="BE10" i="6"/>
  <c r="BF10" i="6"/>
  <c r="BG10" i="6"/>
  <c r="BJ10" i="6"/>
  <c r="BK10" i="6"/>
  <c r="BL10" i="6"/>
  <c r="BO10" i="6"/>
  <c r="BP10" i="6"/>
  <c r="BQ10" i="6"/>
  <c r="BT10" i="6"/>
  <c r="BU10" i="6"/>
  <c r="BV10" i="6"/>
  <c r="CI10" i="6"/>
  <c r="CJ10" i="6"/>
  <c r="CK10" i="6"/>
  <c r="CL10" i="6"/>
  <c r="CM10" i="6"/>
  <c r="CN10" i="6"/>
  <c r="CO10" i="6"/>
  <c r="B10" i="6"/>
  <c r="C7" i="6"/>
  <c r="D7" i="6"/>
  <c r="D15" i="6" s="1"/>
  <c r="H7" i="6"/>
  <c r="I7" i="6"/>
  <c r="L7" i="6"/>
  <c r="M7" i="6"/>
  <c r="C15" i="6" s="1"/>
  <c r="N7" i="6"/>
  <c r="Q7" i="6"/>
  <c r="R7" i="6"/>
  <c r="S7" i="6"/>
  <c r="V7" i="6"/>
  <c r="W7" i="6"/>
  <c r="X7" i="6"/>
  <c r="AA7" i="6"/>
  <c r="AB7" i="6"/>
  <c r="AC7" i="6"/>
  <c r="AF7" i="6"/>
  <c r="AG7" i="6"/>
  <c r="AH7" i="6"/>
  <c r="AK7" i="6"/>
  <c r="AL7" i="6"/>
  <c r="AM7" i="6"/>
  <c r="AP7" i="6"/>
  <c r="AQ7" i="6"/>
  <c r="AR7" i="6"/>
  <c r="AU7" i="6"/>
  <c r="AV7" i="6"/>
  <c r="AW7" i="6"/>
  <c r="AZ7" i="6"/>
  <c r="BA7" i="6"/>
  <c r="BB7" i="6"/>
  <c r="BE7" i="6"/>
  <c r="BF7" i="6"/>
  <c r="BG7" i="6"/>
  <c r="BJ7" i="6"/>
  <c r="BK7" i="6"/>
  <c r="BL7" i="6"/>
  <c r="BO7" i="6"/>
  <c r="BP7" i="6"/>
  <c r="BQ7" i="6"/>
  <c r="BT7" i="6"/>
  <c r="BU7" i="6"/>
  <c r="BV7" i="6"/>
  <c r="C8" i="6"/>
  <c r="D8" i="6"/>
  <c r="D16" i="6" s="1"/>
  <c r="G8" i="6"/>
  <c r="H8" i="6"/>
  <c r="I8" i="6"/>
  <c r="L8" i="6"/>
  <c r="M8" i="6"/>
  <c r="C16" i="6" s="1"/>
  <c r="N8" i="6"/>
  <c r="Q8" i="6"/>
  <c r="R8" i="6"/>
  <c r="S8" i="6"/>
  <c r="V8" i="6"/>
  <c r="W8" i="6"/>
  <c r="X8" i="6"/>
  <c r="AA8" i="6"/>
  <c r="AB8" i="6"/>
  <c r="AC8" i="6"/>
  <c r="AF8" i="6"/>
  <c r="AG8" i="6"/>
  <c r="AH8" i="6"/>
  <c r="AK8" i="6"/>
  <c r="AL8" i="6"/>
  <c r="AM8" i="6"/>
  <c r="AP8" i="6"/>
  <c r="AQ8" i="6"/>
  <c r="AR8" i="6"/>
  <c r="AU8" i="6"/>
  <c r="AV8" i="6"/>
  <c r="AW8" i="6"/>
  <c r="AZ8" i="6"/>
  <c r="BA8" i="6"/>
  <c r="BB8" i="6"/>
  <c r="BE8" i="6"/>
  <c r="BF8" i="6"/>
  <c r="BG8" i="6"/>
  <c r="BJ8" i="6"/>
  <c r="BK8" i="6"/>
  <c r="BL8" i="6"/>
  <c r="BO8" i="6"/>
  <c r="BP8" i="6"/>
  <c r="BQ8" i="6"/>
  <c r="BT8" i="6"/>
  <c r="BU8" i="6"/>
  <c r="BV8" i="6"/>
  <c r="CB50" i="5"/>
  <c r="C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CR48" i="5"/>
  <c r="CS48" i="5"/>
  <c r="CT48" i="5"/>
  <c r="CU48" i="5"/>
  <c r="CV48" i="5"/>
  <c r="CW48" i="5"/>
  <c r="CX48" i="5"/>
  <c r="CY48" i="5"/>
  <c r="CZ48" i="5"/>
  <c r="DA48" i="5"/>
  <c r="DB48" i="5"/>
  <c r="DC48" i="5"/>
  <c r="DD48" i="5"/>
  <c r="DE48" i="5"/>
  <c r="DF48" i="5"/>
  <c r="DG48" i="5"/>
  <c r="DH48" i="5"/>
  <c r="DI48" i="5"/>
  <c r="DJ48" i="5"/>
  <c r="DK48" i="5"/>
  <c r="DL48" i="5"/>
  <c r="DM48" i="5"/>
  <c r="DN48" i="5"/>
  <c r="DO48" i="5"/>
  <c r="DP48" i="5"/>
  <c r="DQ48" i="5"/>
  <c r="DR48" i="5"/>
  <c r="DS48" i="5"/>
  <c r="DT48" i="5"/>
  <c r="DU48" i="5"/>
  <c r="DV48" i="5"/>
  <c r="DW48" i="5"/>
  <c r="DX48" i="5"/>
  <c r="DY48" i="5"/>
  <c r="DZ48" i="5"/>
  <c r="EA48" i="5"/>
  <c r="EB48" i="5"/>
  <c r="EC48" i="5"/>
  <c r="ED48" i="5"/>
  <c r="EE48" i="5"/>
  <c r="EF48" i="5"/>
  <c r="EG48" i="5"/>
  <c r="EH48" i="5"/>
  <c r="EI48" i="5"/>
  <c r="EJ48" i="5"/>
  <c r="EK48" i="5"/>
  <c r="EL48" i="5"/>
  <c r="EM48" i="5"/>
  <c r="EN48" i="5"/>
  <c r="EO48" i="5"/>
  <c r="EP48" i="5"/>
  <c r="EQ48" i="5"/>
  <c r="ER48" i="5"/>
  <c r="ES48" i="5"/>
  <c r="ET48" i="5"/>
  <c r="EU48" i="5"/>
  <c r="EV48" i="5"/>
  <c r="EW48" i="5"/>
  <c r="EX48" i="5"/>
  <c r="EY48" i="5"/>
  <c r="EZ48" i="5"/>
  <c r="FA48" i="5"/>
  <c r="FB48" i="5"/>
  <c r="FC48" i="5"/>
  <c r="FD48" i="5"/>
  <c r="FE48" i="5"/>
  <c r="FF48" i="5"/>
  <c r="FG48" i="5"/>
  <c r="FH48" i="5"/>
  <c r="FI48" i="5"/>
  <c r="FJ48" i="5"/>
  <c r="FK48" i="5"/>
  <c r="FL48" i="5"/>
  <c r="FM48" i="5"/>
  <c r="FN48" i="5"/>
  <c r="FO48" i="5"/>
  <c r="FP48" i="5"/>
  <c r="FQ48" i="5"/>
  <c r="FR48" i="5"/>
  <c r="FS48" i="5"/>
  <c r="FT48" i="5"/>
  <c r="FU48" i="5"/>
  <c r="FV48" i="5"/>
  <c r="FW48" i="5"/>
  <c r="FX48" i="5"/>
  <c r="FY48" i="5"/>
  <c r="FZ48" i="5"/>
  <c r="GA48" i="5"/>
  <c r="GB48" i="5"/>
  <c r="GC48" i="5"/>
  <c r="GD48" i="5"/>
  <c r="GE48" i="5"/>
  <c r="GF48" i="5"/>
  <c r="GG48" i="5"/>
  <c r="GH48" i="5"/>
  <c r="GI48" i="5"/>
  <c r="GJ48" i="5"/>
  <c r="GK48" i="5"/>
  <c r="GL48" i="5"/>
  <c r="GM48" i="5"/>
  <c r="GN48" i="5"/>
  <c r="GO48" i="5"/>
  <c r="GP48" i="5"/>
  <c r="GQ48" i="5"/>
  <c r="GR48" i="5"/>
  <c r="GS48" i="5"/>
  <c r="GT48" i="5"/>
  <c r="GU48" i="5"/>
  <c r="GV48" i="5"/>
  <c r="GW48" i="5"/>
  <c r="GX48" i="5"/>
  <c r="GY48" i="5"/>
  <c r="GZ48" i="5"/>
  <c r="HA48" i="5"/>
  <c r="HB48" i="5"/>
  <c r="HC48" i="5"/>
  <c r="HD48" i="5"/>
  <c r="HE48" i="5"/>
  <c r="HF48" i="5"/>
  <c r="HG48" i="5"/>
  <c r="HH48" i="5"/>
  <c r="HI48" i="5"/>
  <c r="HJ48" i="5"/>
  <c r="HK48" i="5"/>
  <c r="HL48" i="5"/>
  <c r="HM48" i="5"/>
  <c r="HN48" i="5"/>
  <c r="HO48" i="5"/>
  <c r="HP48" i="5"/>
  <c r="HQ48" i="5"/>
  <c r="HR48" i="5"/>
  <c r="HS48" i="5"/>
  <c r="HT48" i="5"/>
  <c r="HU48" i="5"/>
  <c r="D24" i="5"/>
  <c r="D50" i="5" s="1"/>
  <c r="E24" i="5"/>
  <c r="E50" i="5" s="1"/>
  <c r="F24" i="5"/>
  <c r="F50" i="5" s="1"/>
  <c r="G24" i="5"/>
  <c r="H24" i="5"/>
  <c r="H50" i="5" s="1"/>
  <c r="I24" i="5"/>
  <c r="I50" i="5" s="1"/>
  <c r="J24" i="5"/>
  <c r="K24" i="5"/>
  <c r="K50" i="5" s="1"/>
  <c r="L24" i="5"/>
  <c r="L50" i="5" s="1"/>
  <c r="M24" i="5"/>
  <c r="M50" i="5" s="1"/>
  <c r="N24" i="5"/>
  <c r="O24" i="5"/>
  <c r="P24" i="5"/>
  <c r="P50" i="5" s="1"/>
  <c r="Q24" i="5"/>
  <c r="Q50" i="5" s="1"/>
  <c r="R24" i="5"/>
  <c r="S24" i="5"/>
  <c r="T24" i="5"/>
  <c r="T50" i="5" s="1"/>
  <c r="U24" i="5"/>
  <c r="U50" i="5" s="1"/>
  <c r="V24" i="5"/>
  <c r="W24" i="5"/>
  <c r="X24" i="5"/>
  <c r="X50" i="5" s="1"/>
  <c r="Y24" i="5"/>
  <c r="Y50" i="5" s="1"/>
  <c r="Z24" i="5"/>
  <c r="Z50" i="5" s="1"/>
  <c r="AA24" i="5"/>
  <c r="AB24" i="5"/>
  <c r="AB50" i="5" s="1"/>
  <c r="AC24" i="5"/>
  <c r="AC50" i="5" s="1"/>
  <c r="AD24" i="5"/>
  <c r="AE24" i="5"/>
  <c r="AE50" i="5" s="1"/>
  <c r="AF24" i="5"/>
  <c r="AF50" i="5" s="1"/>
  <c r="AG24" i="5"/>
  <c r="AG50" i="5" s="1"/>
  <c r="AH24" i="5"/>
  <c r="AI24" i="5"/>
  <c r="AJ24" i="5"/>
  <c r="AJ50" i="5" s="1"/>
  <c r="AK24" i="5"/>
  <c r="AK50" i="5" s="1"/>
  <c r="AL24" i="5"/>
  <c r="AM24" i="5"/>
  <c r="AN24" i="5"/>
  <c r="AN50" i="5" s="1"/>
  <c r="AO24" i="5"/>
  <c r="AO50" i="5" s="1"/>
  <c r="AP24" i="5"/>
  <c r="AQ24" i="5"/>
  <c r="AR24" i="5"/>
  <c r="AR50" i="5" s="1"/>
  <c r="AS24" i="5"/>
  <c r="AS50" i="5" s="1"/>
  <c r="AT24" i="5"/>
  <c r="AT50" i="5" s="1"/>
  <c r="AU24" i="5"/>
  <c r="AV24" i="5"/>
  <c r="AV50" i="5" s="1"/>
  <c r="AW24" i="5"/>
  <c r="AW50" i="5" s="1"/>
  <c r="AX24" i="5"/>
  <c r="AY24" i="5"/>
  <c r="AY50" i="5" s="1"/>
  <c r="AZ24" i="5"/>
  <c r="AZ50" i="5" s="1"/>
  <c r="BA24" i="5"/>
  <c r="BA50" i="5" s="1"/>
  <c r="BB24" i="5"/>
  <c r="BC24" i="5"/>
  <c r="BD24" i="5"/>
  <c r="BD50" i="5" s="1"/>
  <c r="BE24" i="5"/>
  <c r="BE50" i="5" s="1"/>
  <c r="BF24" i="5"/>
  <c r="BG24" i="5"/>
  <c r="BH24" i="5"/>
  <c r="BH50" i="5" s="1"/>
  <c r="BI24" i="5"/>
  <c r="BI50" i="5" s="1"/>
  <c r="BJ24" i="5"/>
  <c r="BK24" i="5"/>
  <c r="BL24" i="5"/>
  <c r="BL50" i="5" s="1"/>
  <c r="BM24" i="5"/>
  <c r="BM50" i="5" s="1"/>
  <c r="BN24" i="5"/>
  <c r="BN50" i="5" s="1"/>
  <c r="BO24" i="5"/>
  <c r="BP24" i="5"/>
  <c r="BP50" i="5" s="1"/>
  <c r="BQ24" i="5"/>
  <c r="BQ50" i="5" s="1"/>
  <c r="BR24" i="5"/>
  <c r="BS24" i="5"/>
  <c r="BS50" i="5" s="1"/>
  <c r="BT24" i="5"/>
  <c r="BT50" i="5" s="1"/>
  <c r="BU24" i="5"/>
  <c r="BU50" i="5" s="1"/>
  <c r="BV24" i="5"/>
  <c r="BW24" i="5"/>
  <c r="BX24" i="5"/>
  <c r="BX50" i="5" s="1"/>
  <c r="BY24" i="5"/>
  <c r="BY50" i="5" s="1"/>
  <c r="BZ24" i="5"/>
  <c r="BZ50" i="5" s="1"/>
  <c r="CA24" i="5"/>
  <c r="CB24" i="5"/>
  <c r="CC24" i="5"/>
  <c r="CC50" i="5" s="1"/>
  <c r="CC52" i="5" s="1"/>
  <c r="CD24" i="5"/>
  <c r="CD50" i="5" s="1"/>
  <c r="CE24" i="5"/>
  <c r="CE50" i="5" s="1"/>
  <c r="CF24" i="5"/>
  <c r="CF50" i="5" s="1"/>
  <c r="CG24" i="5"/>
  <c r="CG50" i="5" s="1"/>
  <c r="CG52" i="5" s="1"/>
  <c r="CH24" i="5"/>
  <c r="CH50" i="5" s="1"/>
  <c r="CI24" i="5"/>
  <c r="CJ24" i="5"/>
  <c r="CJ50" i="5" s="1"/>
  <c r="CJ52" i="5" s="1"/>
  <c r="CK24" i="5"/>
  <c r="CK50" i="5" s="1"/>
  <c r="CL24" i="5"/>
  <c r="CL50" i="5" s="1"/>
  <c r="CM24" i="5"/>
  <c r="CN24" i="5"/>
  <c r="CN50" i="5" s="1"/>
  <c r="CO24" i="5"/>
  <c r="CO50" i="5" s="1"/>
  <c r="CP24" i="5"/>
  <c r="CP50" i="5" s="1"/>
  <c r="CQ24" i="5"/>
  <c r="CR24" i="5"/>
  <c r="CR50" i="5" s="1"/>
  <c r="CS24" i="5"/>
  <c r="CS50" i="5" s="1"/>
  <c r="CT24" i="5"/>
  <c r="CT50" i="5" s="1"/>
  <c r="CU24" i="5"/>
  <c r="CV24" i="5"/>
  <c r="CV50" i="5" s="1"/>
  <c r="CW24" i="5"/>
  <c r="CW50" i="5" s="1"/>
  <c r="CX24" i="5"/>
  <c r="CX50" i="5" s="1"/>
  <c r="CY24" i="5"/>
  <c r="CY50" i="5" s="1"/>
  <c r="CY52" i="5" s="1"/>
  <c r="CZ24" i="5"/>
  <c r="CZ50" i="5" s="1"/>
  <c r="DA24" i="5"/>
  <c r="DA50" i="5" s="1"/>
  <c r="DB24" i="5"/>
  <c r="DB50" i="5" s="1"/>
  <c r="DC24" i="5"/>
  <c r="DD24" i="5"/>
  <c r="DD50" i="5" s="1"/>
  <c r="DD52" i="5" s="1"/>
  <c r="DE24" i="5"/>
  <c r="DE50" i="5" s="1"/>
  <c r="DF24" i="5"/>
  <c r="DF50" i="5" s="1"/>
  <c r="DG24" i="5"/>
  <c r="DH24" i="5"/>
  <c r="DH50" i="5" s="1"/>
  <c r="DI24" i="5"/>
  <c r="DI50" i="5" s="1"/>
  <c r="DJ24" i="5"/>
  <c r="DJ50" i="5" s="1"/>
  <c r="DK24" i="5"/>
  <c r="DL24" i="5"/>
  <c r="DL50" i="5" s="1"/>
  <c r="DM24" i="5"/>
  <c r="DM50" i="5" s="1"/>
  <c r="DN24" i="5"/>
  <c r="DN50" i="5" s="1"/>
  <c r="DO24" i="5"/>
  <c r="DP24" i="5"/>
  <c r="DP50" i="5" s="1"/>
  <c r="DQ24" i="5"/>
  <c r="DQ50" i="5" s="1"/>
  <c r="DR24" i="5"/>
  <c r="DR50" i="5" s="1"/>
  <c r="DS24" i="5"/>
  <c r="DS50" i="5" s="1"/>
  <c r="DS52" i="5" s="1"/>
  <c r="DT24" i="5"/>
  <c r="DT50" i="5" s="1"/>
  <c r="DU24" i="5"/>
  <c r="DU50" i="5" s="1"/>
  <c r="DV24" i="5"/>
  <c r="DV50" i="5" s="1"/>
  <c r="DW24" i="5"/>
  <c r="DX24" i="5"/>
  <c r="DX50" i="5" s="1"/>
  <c r="DX52" i="5" s="1"/>
  <c r="DY24" i="5"/>
  <c r="DY50" i="5" s="1"/>
  <c r="DZ24" i="5"/>
  <c r="DZ50" i="5" s="1"/>
  <c r="EA24" i="5"/>
  <c r="EB24" i="5"/>
  <c r="EB50" i="5" s="1"/>
  <c r="EC24" i="5"/>
  <c r="EC50" i="5" s="1"/>
  <c r="ED24" i="5"/>
  <c r="ED50" i="5" s="1"/>
  <c r="EE24" i="5"/>
  <c r="EF24" i="5"/>
  <c r="EF50" i="5" s="1"/>
  <c r="EG24" i="5"/>
  <c r="EG50" i="5" s="1"/>
  <c r="EH24" i="5"/>
  <c r="EH50" i="5" s="1"/>
  <c r="EI24" i="5"/>
  <c r="EJ24" i="5"/>
  <c r="EJ50" i="5" s="1"/>
  <c r="EK24" i="5"/>
  <c r="EK50" i="5" s="1"/>
  <c r="EL24" i="5"/>
  <c r="EL50" i="5" s="1"/>
  <c r="EM24" i="5"/>
  <c r="EM50" i="5" s="1"/>
  <c r="EM52" i="5" s="1"/>
  <c r="EN24" i="5"/>
  <c r="EN50" i="5" s="1"/>
  <c r="EO24" i="5"/>
  <c r="EO50" i="5" s="1"/>
  <c r="EP24" i="5"/>
  <c r="EP50" i="5" s="1"/>
  <c r="EQ24" i="5"/>
  <c r="ER24" i="5"/>
  <c r="ER50" i="5" s="1"/>
  <c r="ER52" i="5" s="1"/>
  <c r="ES24" i="5"/>
  <c r="ES50" i="5" s="1"/>
  <c r="ET24" i="5"/>
  <c r="ET50" i="5" s="1"/>
  <c r="EU24" i="5"/>
  <c r="EV24" i="5"/>
  <c r="EV50" i="5" s="1"/>
  <c r="EW24" i="5"/>
  <c r="EW50" i="5" s="1"/>
  <c r="EX24" i="5"/>
  <c r="EX50" i="5" s="1"/>
  <c r="EY24" i="5"/>
  <c r="EY50" i="5" s="1"/>
  <c r="EY52" i="5" s="1"/>
  <c r="EZ24" i="5"/>
  <c r="EZ50" i="5" s="1"/>
  <c r="FA24" i="5"/>
  <c r="FA50" i="5" s="1"/>
  <c r="FB24" i="5"/>
  <c r="FB50" i="5" s="1"/>
  <c r="FC24" i="5"/>
  <c r="FD24" i="5"/>
  <c r="FD50" i="5" s="1"/>
  <c r="FD52" i="5" s="1"/>
  <c r="FE24" i="5"/>
  <c r="FE50" i="5" s="1"/>
  <c r="FF24" i="5"/>
  <c r="FF50" i="5" s="1"/>
  <c r="FG24" i="5"/>
  <c r="FH24" i="5"/>
  <c r="FH50" i="5" s="1"/>
  <c r="FI24" i="5"/>
  <c r="FI50" i="5" s="1"/>
  <c r="FJ24" i="5"/>
  <c r="FJ50" i="5" s="1"/>
  <c r="FK24" i="5"/>
  <c r="FL24" i="5"/>
  <c r="FL50" i="5" s="1"/>
  <c r="FM24" i="5"/>
  <c r="FM50" i="5" s="1"/>
  <c r="FN24" i="5"/>
  <c r="FN50" i="5" s="1"/>
  <c r="FO24" i="5"/>
  <c r="FP24" i="5"/>
  <c r="FP50" i="5" s="1"/>
  <c r="FQ24" i="5"/>
  <c r="FQ50" i="5" s="1"/>
  <c r="FR24" i="5"/>
  <c r="FR50" i="5" s="1"/>
  <c r="FS24" i="5"/>
  <c r="FS50" i="5" s="1"/>
  <c r="FS52" i="5" s="1"/>
  <c r="FT24" i="5"/>
  <c r="FT50" i="5" s="1"/>
  <c r="FU24" i="5"/>
  <c r="FU50" i="5" s="1"/>
  <c r="FV24" i="5"/>
  <c r="FV50" i="5" s="1"/>
  <c r="FW24" i="5"/>
  <c r="FX24" i="5"/>
  <c r="FX50" i="5" s="1"/>
  <c r="FX52" i="5" s="1"/>
  <c r="FY24" i="5"/>
  <c r="FY50" i="5" s="1"/>
  <c r="FZ24" i="5"/>
  <c r="FZ50" i="5" s="1"/>
  <c r="GA24" i="5"/>
  <c r="GB24" i="5"/>
  <c r="GB50" i="5" s="1"/>
  <c r="GC24" i="5"/>
  <c r="GC50" i="5" s="1"/>
  <c r="GD24" i="5"/>
  <c r="GD50" i="5" s="1"/>
  <c r="GE24" i="5"/>
  <c r="GF24" i="5"/>
  <c r="GF50" i="5" s="1"/>
  <c r="GG24" i="5"/>
  <c r="GG50" i="5" s="1"/>
  <c r="GH24" i="5"/>
  <c r="GH50" i="5" s="1"/>
  <c r="GI24" i="5"/>
  <c r="GJ24" i="5"/>
  <c r="GJ50" i="5" s="1"/>
  <c r="GK24" i="5"/>
  <c r="GK50" i="5" s="1"/>
  <c r="GL24" i="5"/>
  <c r="GL50" i="5" s="1"/>
  <c r="GM24" i="5"/>
  <c r="GM50" i="5" s="1"/>
  <c r="GM52" i="5" s="1"/>
  <c r="GN24" i="5"/>
  <c r="GN50" i="5" s="1"/>
  <c r="GO24" i="5"/>
  <c r="GO50" i="5" s="1"/>
  <c r="GP24" i="5"/>
  <c r="GP50" i="5" s="1"/>
  <c r="GQ24" i="5"/>
  <c r="GR24" i="5"/>
  <c r="GR50" i="5" s="1"/>
  <c r="GR52" i="5" s="1"/>
  <c r="GS24" i="5"/>
  <c r="GS50" i="5" s="1"/>
  <c r="GT24" i="5"/>
  <c r="GT50" i="5" s="1"/>
  <c r="GU24" i="5"/>
  <c r="GV24" i="5"/>
  <c r="GV50" i="5" s="1"/>
  <c r="GW24" i="5"/>
  <c r="GW50" i="5" s="1"/>
  <c r="GX24" i="5"/>
  <c r="GX50" i="5" s="1"/>
  <c r="GY24" i="5"/>
  <c r="GZ24" i="5"/>
  <c r="GZ50" i="5" s="1"/>
  <c r="HA24" i="5"/>
  <c r="HA50" i="5" s="1"/>
  <c r="HB24" i="5"/>
  <c r="HB50" i="5" s="1"/>
  <c r="HC24" i="5"/>
  <c r="HD24" i="5"/>
  <c r="HD50" i="5" s="1"/>
  <c r="HE24" i="5"/>
  <c r="HE50" i="5" s="1"/>
  <c r="HF24" i="5"/>
  <c r="HF50" i="5" s="1"/>
  <c r="HG24" i="5"/>
  <c r="HG50" i="5" s="1"/>
  <c r="HG52" i="5" s="1"/>
  <c r="HH24" i="5"/>
  <c r="HH50" i="5" s="1"/>
  <c r="HI24" i="5"/>
  <c r="HI50" i="5" s="1"/>
  <c r="HJ24" i="5"/>
  <c r="HJ50" i="5" s="1"/>
  <c r="HK24" i="5"/>
  <c r="HL24" i="5"/>
  <c r="HL50" i="5" s="1"/>
  <c r="HL52" i="5" s="1"/>
  <c r="HM24" i="5"/>
  <c r="HM50" i="5" s="1"/>
  <c r="HN24" i="5"/>
  <c r="HN50" i="5" s="1"/>
  <c r="HO24" i="5"/>
  <c r="HP24" i="5"/>
  <c r="HP50" i="5" s="1"/>
  <c r="HQ24" i="5"/>
  <c r="HQ50" i="5" s="1"/>
  <c r="HR24" i="5"/>
  <c r="HR50" i="5" s="1"/>
  <c r="HS24" i="5"/>
  <c r="HT24" i="5"/>
  <c r="HT50" i="5" s="1"/>
  <c r="HU24" i="5"/>
  <c r="HU50" i="5" s="1"/>
  <c r="C24" i="5"/>
  <c r="C50" i="5" s="1"/>
  <c r="C48" i="5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Z45" i="4"/>
  <c r="BA45" i="4"/>
  <c r="BB45" i="4"/>
  <c r="BC45" i="4"/>
  <c r="BD45" i="4"/>
  <c r="BE45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BY45" i="4"/>
  <c r="BZ45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BE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BY44" i="4"/>
  <c r="BZ44" i="4"/>
  <c r="F44" i="4"/>
  <c r="CL52" i="5" l="1"/>
  <c r="CD52" i="5"/>
  <c r="BV50" i="5"/>
  <c r="BR50" i="5"/>
  <c r="BJ50" i="5"/>
  <c r="BF50" i="5"/>
  <c r="BB50" i="5"/>
  <c r="AX50" i="5"/>
  <c r="AP50" i="5"/>
  <c r="AL50" i="5"/>
  <c r="AH50" i="5"/>
  <c r="AD50" i="5"/>
  <c r="V50" i="5"/>
  <c r="R50" i="5"/>
  <c r="N50" i="5"/>
  <c r="J50" i="5"/>
  <c r="CB52" i="5"/>
  <c r="FA52" i="5"/>
  <c r="HS50" i="5"/>
  <c r="HS52" i="5" s="1"/>
  <c r="HO50" i="5"/>
  <c r="HO52" i="5" s="1"/>
  <c r="HK50" i="5"/>
  <c r="HK52" i="5" s="1"/>
  <c r="HC50" i="5"/>
  <c r="HC52" i="5" s="1"/>
  <c r="GY50" i="5"/>
  <c r="GY52" i="5" s="1"/>
  <c r="GU50" i="5"/>
  <c r="GU52" i="5" s="1"/>
  <c r="GQ50" i="5"/>
  <c r="GQ52" i="5" s="1"/>
  <c r="GI50" i="5"/>
  <c r="GI52" i="5" s="1"/>
  <c r="GE50" i="5"/>
  <c r="GE52" i="5" s="1"/>
  <c r="GA50" i="5"/>
  <c r="GA52" i="5" s="1"/>
  <c r="FW50" i="5"/>
  <c r="FW52" i="5" s="1"/>
  <c r="FO50" i="5"/>
  <c r="FO52" i="5" s="1"/>
  <c r="FK50" i="5"/>
  <c r="FK52" i="5" s="1"/>
  <c r="FG50" i="5"/>
  <c r="FG52" i="5" s="1"/>
  <c r="FC50" i="5"/>
  <c r="FC52" i="5" s="1"/>
  <c r="EU50" i="5"/>
  <c r="EU52" i="5" s="1"/>
  <c r="EQ50" i="5"/>
  <c r="EQ52" i="5" s="1"/>
  <c r="EI50" i="5"/>
  <c r="EI52" i="5" s="1"/>
  <c r="EE50" i="5"/>
  <c r="EE52" i="5" s="1"/>
  <c r="EA50" i="5"/>
  <c r="EA52" i="5" s="1"/>
  <c r="DW50" i="5"/>
  <c r="DW52" i="5" s="1"/>
  <c r="DO50" i="5"/>
  <c r="DO52" i="5" s="1"/>
  <c r="DK50" i="5"/>
  <c r="DK52" i="5" s="1"/>
  <c r="DG50" i="5"/>
  <c r="DG52" i="5" s="1"/>
  <c r="DC50" i="5"/>
  <c r="DC52" i="5" s="1"/>
  <c r="CU50" i="5"/>
  <c r="CU52" i="5" s="1"/>
  <c r="CQ50" i="5"/>
  <c r="CQ52" i="5" s="1"/>
  <c r="CM50" i="5"/>
  <c r="CM52" i="5" s="1"/>
  <c r="CI50" i="5"/>
  <c r="FH52" i="5" s="1"/>
  <c r="CA50" i="5"/>
  <c r="EZ52" i="5" s="1"/>
  <c r="BW50" i="5"/>
  <c r="EV52" i="5" s="1"/>
  <c r="BO50" i="5"/>
  <c r="EN52" i="5" s="1"/>
  <c r="BK50" i="5"/>
  <c r="EJ52" i="5" s="1"/>
  <c r="BG50" i="5"/>
  <c r="EF52" i="5" s="1"/>
  <c r="BC50" i="5"/>
  <c r="EB52" i="5" s="1"/>
  <c r="AU50" i="5"/>
  <c r="DT52" i="5" s="1"/>
  <c r="AQ50" i="5"/>
  <c r="DP52" i="5" s="1"/>
  <c r="AM50" i="5"/>
  <c r="DL52" i="5" s="1"/>
  <c r="AI50" i="5"/>
  <c r="DH52" i="5" s="1"/>
  <c r="AA50" i="5"/>
  <c r="CZ52" i="5" s="1"/>
  <c r="W50" i="5"/>
  <c r="CV52" i="5" s="1"/>
  <c r="S50" i="5"/>
  <c r="CR52" i="5" s="1"/>
  <c r="O50" i="5"/>
  <c r="CN52" i="5" s="1"/>
  <c r="G50" i="5"/>
  <c r="CF52" i="5" s="1"/>
  <c r="HR52" i="5"/>
  <c r="HN52" i="5"/>
  <c r="HJ52" i="5"/>
  <c r="HF52" i="5"/>
  <c r="HB52" i="5"/>
  <c r="GX52" i="5"/>
  <c r="GT52" i="5"/>
  <c r="GP52" i="5"/>
  <c r="GL52" i="5"/>
  <c r="GH52" i="5"/>
  <c r="GD52" i="5"/>
  <c r="FZ52" i="5"/>
  <c r="FV52" i="5"/>
  <c r="FR52" i="5"/>
  <c r="FN52" i="5"/>
  <c r="FJ52" i="5"/>
  <c r="FF52" i="5"/>
  <c r="FB52" i="5"/>
  <c r="EX52" i="5"/>
  <c r="ET52" i="5"/>
  <c r="EP52" i="5"/>
  <c r="EL52" i="5"/>
  <c r="EH52" i="5"/>
  <c r="ED52" i="5"/>
  <c r="DZ52" i="5"/>
  <c r="DV52" i="5"/>
  <c r="DR52" i="5"/>
  <c r="DN52" i="5"/>
  <c r="DJ52" i="5"/>
  <c r="DF52" i="5"/>
  <c r="DB52" i="5"/>
  <c r="CX52" i="5"/>
  <c r="CT52" i="5"/>
  <c r="CP52" i="5"/>
  <c r="HU52" i="5"/>
  <c r="HQ52" i="5"/>
  <c r="HM52" i="5"/>
  <c r="HI52" i="5"/>
  <c r="HE52" i="5"/>
  <c r="HA52" i="5"/>
  <c r="GW52" i="5"/>
  <c r="CI52" i="5"/>
  <c r="CE52" i="5"/>
  <c r="CH52" i="5"/>
  <c r="GO52" i="5"/>
  <c r="GG52" i="5"/>
  <c r="FY52" i="5"/>
  <c r="FQ52" i="5"/>
  <c r="FM52" i="5"/>
  <c r="FE52" i="5"/>
  <c r="EW52" i="5"/>
  <c r="EO52" i="5"/>
  <c r="EK52" i="5"/>
  <c r="EG52" i="5"/>
  <c r="EC52" i="5"/>
  <c r="DY52" i="5"/>
  <c r="DU52" i="5"/>
  <c r="DQ52" i="5"/>
  <c r="DM52" i="5"/>
  <c r="DI52" i="5"/>
  <c r="DE52" i="5"/>
  <c r="DA52" i="5"/>
  <c r="CW52" i="5"/>
  <c r="CS52" i="5"/>
  <c r="CO52" i="5"/>
  <c r="CK52" i="5"/>
  <c r="GS52" i="5"/>
  <c r="GK52" i="5"/>
  <c r="GC52" i="5"/>
  <c r="FU52" i="5"/>
  <c r="FI52" i="5"/>
  <c r="ES52" i="5"/>
  <c r="HH52" i="5" l="1"/>
  <c r="HT52" i="5"/>
  <c r="FT52" i="5"/>
  <c r="GN52" i="5"/>
  <c r="GB52" i="5"/>
  <c r="GV52" i="5"/>
  <c r="HP52" i="5"/>
  <c r="FL52" i="5"/>
  <c r="GF52" i="5"/>
  <c r="GZ52" i="5"/>
  <c r="FP52" i="5"/>
  <c r="GJ52" i="5"/>
  <c r="HD52" i="5"/>
</calcChain>
</file>

<file path=xl/sharedStrings.xml><?xml version="1.0" encoding="utf-8"?>
<sst xmlns="http://schemas.openxmlformats.org/spreadsheetml/2006/main" count="897" uniqueCount="68">
  <si>
    <t>P2</t>
  </si>
  <si>
    <t>FRAGMENTO</t>
  </si>
  <si>
    <t xml:space="preserve">AREA </t>
  </si>
  <si>
    <t>PERIMETRO</t>
  </si>
  <si>
    <t xml:space="preserve">LARGO TOTAL </t>
  </si>
  <si>
    <t>P4</t>
  </si>
  <si>
    <t>P9</t>
  </si>
  <si>
    <t>P9 - 2</t>
  </si>
  <si>
    <t>P10</t>
  </si>
  <si>
    <t>P13</t>
  </si>
  <si>
    <t>P14</t>
  </si>
  <si>
    <t>P19</t>
  </si>
  <si>
    <t>P19 - 2</t>
  </si>
  <si>
    <t xml:space="preserve">PAC - PD </t>
  </si>
  <si>
    <t>P5</t>
  </si>
  <si>
    <t xml:space="preserve">P5 - 2 </t>
  </si>
  <si>
    <t>P6</t>
  </si>
  <si>
    <t>P7</t>
  </si>
  <si>
    <t>FCI4:CR72RAGMENTO</t>
  </si>
  <si>
    <t>8,52</t>
  </si>
  <si>
    <r>
      <rPr>
        <b/>
        <sz val="16"/>
        <color theme="1"/>
        <rFont val="Calibri"/>
        <family val="2"/>
        <scheme val="minor"/>
      </rPr>
      <t>P?4</t>
    </r>
    <r>
      <rPr>
        <sz val="16"/>
        <color theme="1"/>
        <rFont val="Calibri"/>
        <family val="2"/>
        <scheme val="minor"/>
      </rPr>
      <t xml:space="preserve"> </t>
    </r>
  </si>
  <si>
    <t>Horizontal</t>
  </si>
  <si>
    <t>Vertical</t>
  </si>
  <si>
    <t>PLANO</t>
  </si>
  <si>
    <t>0,990</t>
  </si>
  <si>
    <t>0,826</t>
  </si>
  <si>
    <t>Fragmento Perdido</t>
  </si>
  <si>
    <t>Fragmento Muerto</t>
  </si>
  <si>
    <t>Sin Foto</t>
  </si>
  <si>
    <t>January</t>
  </si>
  <si>
    <t>June</t>
  </si>
  <si>
    <r>
      <t>P?4</t>
    </r>
    <r>
      <rPr>
        <sz val="16"/>
        <color rgb="FF000000"/>
        <rFont val="Calibri"/>
        <family val="2"/>
        <scheme val="minor"/>
      </rPr>
      <t xml:space="preserve"> </t>
    </r>
  </si>
  <si>
    <t>vert + hor</t>
  </si>
  <si>
    <t>Jun</t>
  </si>
  <si>
    <t>Jan</t>
  </si>
  <si>
    <t>p2</t>
  </si>
  <si>
    <t>p4</t>
  </si>
  <si>
    <t>p9</t>
  </si>
  <si>
    <t>p9-2</t>
  </si>
  <si>
    <t>p10</t>
  </si>
  <si>
    <t>p13</t>
  </si>
  <si>
    <t>p14</t>
  </si>
  <si>
    <t>p19</t>
  </si>
  <si>
    <t>p19-2</t>
  </si>
  <si>
    <t>pac-pd</t>
  </si>
  <si>
    <t>p5</t>
  </si>
  <si>
    <t>p?4</t>
  </si>
  <si>
    <t>p5-2</t>
  </si>
  <si>
    <t>p6</t>
  </si>
  <si>
    <t>p7</t>
  </si>
  <si>
    <t>area</t>
  </si>
  <si>
    <t>permietro</t>
  </si>
  <si>
    <t>largo total</t>
  </si>
  <si>
    <t>warm</t>
  </si>
  <si>
    <t>cold</t>
  </si>
  <si>
    <t xml:space="preserve">total </t>
  </si>
  <si>
    <t>Average</t>
  </si>
  <si>
    <t>total</t>
  </si>
  <si>
    <t>warm (increase)</t>
  </si>
  <si>
    <t>cold (increase)</t>
  </si>
  <si>
    <t>total (increase)</t>
  </si>
  <si>
    <t>Enero 2022</t>
  </si>
  <si>
    <t>Junio 2022</t>
  </si>
  <si>
    <t>Enero 2023</t>
  </si>
  <si>
    <t>Crecimiento Neto</t>
  </si>
  <si>
    <t>Temporada calida</t>
  </si>
  <si>
    <t>(Enero-Junio)</t>
  </si>
  <si>
    <t xml:space="preserve"> (Junio - Enero)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</si>
</sst>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 Light"/>
      <family val="2"/>
    </font>
    <font>
      <b/>
      <sz val="16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3" borderId="4" xfId="0" applyFill="1" applyBorder="1"/>
    <xf numFmtId="3" fontId="0" fillId="0" borderId="0" xfId="0" applyNumberFormat="1"/>
    <xf numFmtId="0" fontId="0" fillId="4" borderId="0" xfId="0" applyFill="1"/>
    <xf numFmtId="0" fontId="1" fillId="0" borderId="4" xfId="0" applyFont="1" applyBorder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0" fillId="3" borderId="8" xfId="0" applyFill="1" applyBorder="1"/>
    <xf numFmtId="0" fontId="0" fillId="3" borderId="9" xfId="0" applyFill="1" applyBorder="1"/>
    <xf numFmtId="3" fontId="0" fillId="0" borderId="10" xfId="0" applyNumberFormat="1" applyBorder="1"/>
    <xf numFmtId="3" fontId="0" fillId="4" borderId="0" xfId="0" applyNumberFormat="1" applyFill="1"/>
    <xf numFmtId="3" fontId="0" fillId="4" borderId="10" xfId="0" applyNumberFormat="1" applyFill="1" applyBorder="1"/>
    <xf numFmtId="0" fontId="0" fillId="0" borderId="11" xfId="0" applyBorder="1"/>
    <xf numFmtId="0" fontId="0" fillId="0" borderId="10" xfId="0" applyBorder="1"/>
    <xf numFmtId="0" fontId="0" fillId="4" borderId="10" xfId="0" applyFill="1" applyBorder="1"/>
    <xf numFmtId="0" fontId="0" fillId="0" borderId="0" xfId="0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3" fillId="2" borderId="12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right"/>
    </xf>
    <xf numFmtId="0" fontId="4" fillId="2" borderId="6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2" fontId="0" fillId="0" borderId="0" xfId="0" applyNumberForma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3" fontId="0" fillId="5" borderId="0" xfId="0" applyNumberFormat="1" applyFill="1"/>
    <xf numFmtId="0" fontId="2" fillId="0" borderId="6" xfId="0" applyFont="1" applyBorder="1" applyAlignment="1">
      <alignment horizontal="right"/>
    </xf>
    <xf numFmtId="0" fontId="0" fillId="0" borderId="2" xfId="0" applyBorder="1"/>
    <xf numFmtId="0" fontId="3" fillId="0" borderId="6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3" fontId="0" fillId="5" borderId="10" xfId="0" applyNumberFormat="1" applyFill="1" applyBorder="1"/>
    <xf numFmtId="3" fontId="0" fillId="0" borderId="4" xfId="0" applyNumberFormat="1" applyBorder="1"/>
    <xf numFmtId="3" fontId="0" fillId="6" borderId="4" xfId="0" applyNumberFormat="1" applyFill="1" applyBorder="1"/>
    <xf numFmtId="3" fontId="0" fillId="6" borderId="0" xfId="0" applyNumberFormat="1" applyFill="1"/>
    <xf numFmtId="3" fontId="0" fillId="6" borderId="10" xfId="0" applyNumberFormat="1" applyFill="1" applyBorder="1"/>
    <xf numFmtId="0" fontId="0" fillId="6" borderId="0" xfId="0" applyFill="1"/>
    <xf numFmtId="0" fontId="0" fillId="5" borderId="0" xfId="0" applyFill="1"/>
    <xf numFmtId="0" fontId="7" fillId="7" borderId="0" xfId="0" applyFont="1" applyFill="1"/>
    <xf numFmtId="0" fontId="7" fillId="8" borderId="0" xfId="0" applyFont="1" applyFill="1"/>
    <xf numFmtId="0" fontId="7" fillId="9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8" fillId="10" borderId="5" xfId="0" applyFont="1" applyFill="1" applyBorder="1" applyAlignment="1">
      <alignment horizontal="right"/>
    </xf>
    <xf numFmtId="0" fontId="8" fillId="10" borderId="6" xfId="0" applyFont="1" applyFill="1" applyBorder="1" applyAlignment="1">
      <alignment horizontal="right"/>
    </xf>
    <xf numFmtId="0" fontId="8" fillId="10" borderId="7" xfId="0" applyFont="1" applyFill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9" fillId="10" borderId="5" xfId="0" applyFont="1" applyFill="1" applyBorder="1" applyAlignment="1">
      <alignment horizontal="right"/>
    </xf>
    <xf numFmtId="0" fontId="9" fillId="10" borderId="6" xfId="0" applyFont="1" applyFill="1" applyBorder="1" applyAlignment="1">
      <alignment horizontal="right"/>
    </xf>
    <xf numFmtId="0" fontId="9" fillId="10" borderId="7" xfId="0" applyFont="1" applyFill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9" fillId="10" borderId="12" xfId="0" applyFont="1" applyFill="1" applyBorder="1" applyAlignment="1">
      <alignment horizontal="right"/>
    </xf>
    <xf numFmtId="0" fontId="9" fillId="10" borderId="13" xfId="0" applyFont="1" applyFill="1" applyBorder="1" applyAlignment="1">
      <alignment horizontal="right"/>
    </xf>
    <xf numFmtId="0" fontId="9" fillId="10" borderId="14" xfId="0" applyFont="1" applyFill="1" applyBorder="1" applyAlignment="1">
      <alignment horizontal="right"/>
    </xf>
    <xf numFmtId="0" fontId="10" fillId="10" borderId="5" xfId="0" applyFont="1" applyFill="1" applyBorder="1" applyAlignment="1">
      <alignment horizontal="right"/>
    </xf>
    <xf numFmtId="0" fontId="10" fillId="10" borderId="6" xfId="0" applyFont="1" applyFill="1" applyBorder="1" applyAlignment="1">
      <alignment horizontal="right"/>
    </xf>
    <xf numFmtId="0" fontId="10" fillId="10" borderId="7" xfId="0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0" fontId="11" fillId="10" borderId="6" xfId="0" applyFont="1" applyFill="1" applyBorder="1" applyAlignment="1">
      <alignment horizontal="right"/>
    </xf>
    <xf numFmtId="0" fontId="11" fillId="10" borderId="7" xfId="0" applyFont="1" applyFill="1" applyBorder="1" applyAlignment="1">
      <alignment horizontal="right"/>
    </xf>
    <xf numFmtId="0" fontId="11" fillId="0" borderId="6" xfId="0" applyFont="1" applyBorder="1" applyAlignment="1">
      <alignment horizontal="right"/>
    </xf>
    <xf numFmtId="0" fontId="7" fillId="0" borderId="15" xfId="0" applyFont="1" applyBorder="1" applyAlignment="1">
      <alignment vertical="center"/>
    </xf>
    <xf numFmtId="3" fontId="7" fillId="0" borderId="0" xfId="0" applyNumberFormat="1" applyFont="1"/>
    <xf numFmtId="3" fontId="7" fillId="0" borderId="10" xfId="0" applyNumberFormat="1" applyFont="1" applyBorder="1"/>
    <xf numFmtId="3" fontId="7" fillId="8" borderId="0" xfId="0" applyNumberFormat="1" applyFont="1" applyFill="1"/>
    <xf numFmtId="3" fontId="7" fillId="8" borderId="10" xfId="0" applyNumberFormat="1" applyFont="1" applyFill="1" applyBorder="1"/>
    <xf numFmtId="0" fontId="7" fillId="0" borderId="10" xfId="0" applyFont="1" applyBorder="1"/>
    <xf numFmtId="0" fontId="7" fillId="0" borderId="11" xfId="0" applyFont="1" applyBorder="1"/>
    <xf numFmtId="17" fontId="0" fillId="0" borderId="0" xfId="0" applyNumberFormat="1"/>
    <xf numFmtId="16" fontId="0" fillId="0" borderId="0" xfId="0" applyNumberFormat="1"/>
    <xf numFmtId="0" fontId="1" fillId="11" borderId="4" xfId="0" applyFont="1" applyFill="1" applyBorder="1" applyAlignment="1">
      <alignment vertical="center"/>
    </xf>
    <xf numFmtId="0" fontId="0" fillId="3" borderId="16" xfId="0" applyFill="1" applyBorder="1"/>
    <xf numFmtId="3" fontId="12" fillId="0" borderId="0" xfId="0" applyNumberFormat="1" applyFont="1"/>
    <xf numFmtId="0" fontId="12" fillId="0" borderId="0" xfId="0" applyFont="1"/>
    <xf numFmtId="2" fontId="12" fillId="0" borderId="0" xfId="0" applyNumberFormat="1" applyFont="1"/>
    <xf numFmtId="3" fontId="12" fillId="0" borderId="4" xfId="0" applyNumberFormat="1" applyFont="1" applyBorder="1"/>
    <xf numFmtId="3" fontId="12" fillId="5" borderId="0" xfId="0" applyNumberFormat="1" applyFont="1" applyFill="1"/>
    <xf numFmtId="0" fontId="12" fillId="4" borderId="0" xfId="0" applyFont="1" applyFill="1"/>
    <xf numFmtId="3" fontId="13" fillId="0" borderId="0" xfId="0" applyNumberFormat="1" applyFont="1"/>
    <xf numFmtId="3" fontId="13" fillId="0" borderId="10" xfId="0" applyNumberFormat="1" applyFont="1" applyBorder="1"/>
    <xf numFmtId="3" fontId="13" fillId="7" borderId="0" xfId="0" applyNumberFormat="1" applyFont="1" applyFill="1"/>
    <xf numFmtId="3" fontId="13" fillId="7" borderId="10" xfId="0" applyNumberFormat="1" applyFont="1" applyFill="1" applyBorder="1"/>
    <xf numFmtId="3" fontId="13" fillId="8" borderId="0" xfId="0" applyNumberFormat="1" applyFont="1" applyFill="1"/>
    <xf numFmtId="3" fontId="13" fillId="8" borderId="10" xfId="0" applyNumberFormat="1" applyFont="1" applyFill="1" applyBorder="1"/>
    <xf numFmtId="3" fontId="12" fillId="0" borderId="10" xfId="0" applyNumberFormat="1" applyFont="1" applyBorder="1"/>
    <xf numFmtId="3" fontId="12" fillId="5" borderId="10" xfId="0" applyNumberFormat="1" applyFont="1" applyFill="1" applyBorder="1"/>
    <xf numFmtId="3" fontId="12" fillId="4" borderId="0" xfId="0" applyNumberFormat="1" applyFont="1" applyFill="1"/>
    <xf numFmtId="3" fontId="12" fillId="4" borderId="10" xfId="0" applyNumberFormat="1" applyFont="1" applyFill="1" applyBorder="1"/>
    <xf numFmtId="0" fontId="13" fillId="8" borderId="0" xfId="0" applyFont="1" applyFill="1"/>
    <xf numFmtId="0" fontId="13" fillId="8" borderId="10" xfId="0" applyFont="1" applyFill="1" applyBorder="1"/>
    <xf numFmtId="0" fontId="12" fillId="4" borderId="10" xfId="0" applyFont="1" applyFill="1" applyBorder="1"/>
    <xf numFmtId="0" fontId="13" fillId="0" borderId="0" xfId="0" applyFont="1"/>
    <xf numFmtId="0" fontId="13" fillId="0" borderId="10" xfId="0" applyFont="1" applyBorder="1"/>
    <xf numFmtId="3" fontId="13" fillId="9" borderId="0" xfId="0" applyNumberFormat="1" applyFont="1" applyFill="1"/>
    <xf numFmtId="3" fontId="13" fillId="9" borderId="10" xfId="0" applyNumberFormat="1" applyFont="1" applyFill="1" applyBorder="1"/>
    <xf numFmtId="3" fontId="12" fillId="6" borderId="0" xfId="0" applyNumberFormat="1" applyFont="1" applyFill="1"/>
    <xf numFmtId="3" fontId="12" fillId="6" borderId="1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789D-F5CE-0040-8947-ED85BD43B928}">
  <dimension ref="A1:BZ45"/>
  <sheetViews>
    <sheetView tabSelected="1" topLeftCell="J1" zoomScale="94" workbookViewId="0">
      <selection activeCell="AD2" sqref="AD2:AG43"/>
    </sheetView>
  </sheetViews>
  <sheetFormatPr defaultColWidth="11" defaultRowHeight="15.75" x14ac:dyDescent="0.25"/>
  <cols>
    <col min="5" max="5" width="14" customWidth="1"/>
    <col min="8" max="8" width="13.375" customWidth="1"/>
    <col min="10" max="10" width="13" customWidth="1"/>
    <col min="13" max="13" width="14.625" customWidth="1"/>
    <col min="15" max="15" width="13.375" customWidth="1"/>
    <col min="18" max="18" width="13.875" customWidth="1"/>
    <col min="20" max="20" width="13.375" customWidth="1"/>
    <col min="23" max="23" width="13" customWidth="1"/>
    <col min="25" max="25" width="14" customWidth="1"/>
    <col min="28" max="28" width="12.375" customWidth="1"/>
    <col min="30" max="30" width="12.5" customWidth="1"/>
    <col min="33" max="33" width="15" customWidth="1"/>
    <col min="35" max="35" width="15.375" customWidth="1"/>
    <col min="38" max="38" width="13.875" customWidth="1"/>
    <col min="40" max="40" width="14.875" customWidth="1"/>
    <col min="43" max="43" width="14" customWidth="1"/>
    <col min="45" max="45" width="13.5" customWidth="1"/>
    <col min="48" max="48" width="12.625" customWidth="1"/>
    <col min="50" max="50" width="12.625" customWidth="1"/>
    <col min="53" max="53" width="12.125" customWidth="1"/>
    <col min="55" max="55" width="12" customWidth="1"/>
    <col min="58" max="58" width="12.375" customWidth="1"/>
    <col min="60" max="60" width="12.375" customWidth="1"/>
    <col min="63" max="63" width="12" customWidth="1"/>
    <col min="65" max="65" width="12.5" customWidth="1"/>
    <col min="68" max="68" width="12.875" customWidth="1"/>
    <col min="70" max="70" width="12" customWidth="1"/>
    <col min="73" max="73" width="12.875" customWidth="1"/>
    <col min="75" max="75" width="12.625" customWidth="1"/>
    <col min="78" max="78" width="12.625" customWidth="1"/>
  </cols>
  <sheetData>
    <row r="1" spans="1:78" x14ac:dyDescent="0.25">
      <c r="A1" s="56" t="s">
        <v>27</v>
      </c>
      <c r="B1" s="56"/>
    </row>
    <row r="2" spans="1:78" ht="21" x14ac:dyDescent="0.35">
      <c r="A2" s="3" t="s">
        <v>26</v>
      </c>
      <c r="B2" s="3"/>
      <c r="D2" s="23"/>
      <c r="E2" s="5" t="s">
        <v>0</v>
      </c>
      <c r="F2" s="6"/>
      <c r="G2" s="6"/>
      <c r="H2" s="7"/>
      <c r="J2" s="8" t="s">
        <v>5</v>
      </c>
      <c r="K2" s="9"/>
      <c r="L2" s="9"/>
      <c r="M2" s="10"/>
      <c r="O2" s="8" t="s">
        <v>6</v>
      </c>
      <c r="P2" s="9"/>
      <c r="Q2" s="9"/>
      <c r="R2" s="10"/>
      <c r="T2" s="11" t="s">
        <v>7</v>
      </c>
      <c r="U2" s="11"/>
      <c r="V2" s="11"/>
      <c r="W2" s="11"/>
      <c r="Y2" s="8" t="s">
        <v>8</v>
      </c>
      <c r="Z2" s="9"/>
      <c r="AA2" s="9"/>
      <c r="AB2" s="10"/>
      <c r="AD2" s="8" t="s">
        <v>9</v>
      </c>
      <c r="AE2" s="9"/>
      <c r="AF2" s="9"/>
      <c r="AG2" s="10"/>
      <c r="AI2" s="8" t="s">
        <v>10</v>
      </c>
      <c r="AJ2" s="9"/>
      <c r="AK2" s="9"/>
      <c r="AL2" s="10"/>
      <c r="AN2" s="8" t="s">
        <v>11</v>
      </c>
      <c r="AO2" s="9"/>
      <c r="AP2" s="9"/>
      <c r="AQ2" s="10"/>
      <c r="AS2" s="40" t="s">
        <v>12</v>
      </c>
      <c r="AT2" s="41"/>
      <c r="AU2" s="41"/>
      <c r="AV2" s="42"/>
      <c r="AX2" s="8" t="s">
        <v>13</v>
      </c>
      <c r="AY2" s="9"/>
      <c r="AZ2" s="9"/>
      <c r="BA2" s="10"/>
      <c r="BC2" s="12" t="s">
        <v>20</v>
      </c>
      <c r="BD2" s="13"/>
      <c r="BE2" s="13"/>
      <c r="BF2" s="14"/>
      <c r="BH2" s="8" t="s">
        <v>14</v>
      </c>
      <c r="BI2" s="9"/>
      <c r="BJ2" s="9"/>
      <c r="BK2" s="10"/>
      <c r="BM2" s="8" t="s">
        <v>15</v>
      </c>
      <c r="BN2" s="9"/>
      <c r="BO2" s="9"/>
      <c r="BP2" s="10"/>
      <c r="BR2" s="11" t="s">
        <v>16</v>
      </c>
      <c r="BS2" s="11"/>
      <c r="BT2" s="11"/>
      <c r="BU2" s="11"/>
      <c r="BW2" s="8" t="s">
        <v>17</v>
      </c>
      <c r="BX2" s="9"/>
      <c r="BY2" s="9"/>
      <c r="BZ2" s="10"/>
    </row>
    <row r="3" spans="1:78" ht="15" customHeight="1" x14ac:dyDescent="0.25">
      <c r="A3" s="55" t="s">
        <v>28</v>
      </c>
      <c r="B3" s="55"/>
      <c r="D3" t="s">
        <v>23</v>
      </c>
      <c r="E3" s="1" t="s">
        <v>1</v>
      </c>
      <c r="F3" s="1" t="s">
        <v>2</v>
      </c>
      <c r="G3" s="1" t="s">
        <v>3</v>
      </c>
      <c r="H3" s="1" t="s">
        <v>4</v>
      </c>
      <c r="J3" s="1" t="s">
        <v>1</v>
      </c>
      <c r="K3" s="1" t="s">
        <v>2</v>
      </c>
      <c r="L3" s="1" t="s">
        <v>3</v>
      </c>
      <c r="M3" s="1" t="s">
        <v>4</v>
      </c>
      <c r="O3" s="1" t="s">
        <v>1</v>
      </c>
      <c r="P3" s="1" t="s">
        <v>2</v>
      </c>
      <c r="Q3" s="1" t="s">
        <v>3</v>
      </c>
      <c r="R3" s="1" t="s">
        <v>4</v>
      </c>
      <c r="T3" s="1" t="s">
        <v>1</v>
      </c>
      <c r="U3" s="1" t="s">
        <v>2</v>
      </c>
      <c r="V3" s="1" t="s">
        <v>3</v>
      </c>
      <c r="W3" s="1" t="s">
        <v>4</v>
      </c>
      <c r="Y3" s="1" t="s">
        <v>1</v>
      </c>
      <c r="Z3" s="1" t="s">
        <v>2</v>
      </c>
      <c r="AA3" s="1" t="s">
        <v>3</v>
      </c>
      <c r="AB3" s="1" t="s">
        <v>4</v>
      </c>
      <c r="AD3" s="1" t="s">
        <v>1</v>
      </c>
      <c r="AE3" s="1" t="s">
        <v>2</v>
      </c>
      <c r="AF3" s="1" t="s">
        <v>3</v>
      </c>
      <c r="AG3" s="1" t="s">
        <v>4</v>
      </c>
      <c r="AI3" s="1" t="s">
        <v>1</v>
      </c>
      <c r="AJ3" s="1" t="s">
        <v>2</v>
      </c>
      <c r="AK3" s="1" t="s">
        <v>3</v>
      </c>
      <c r="AL3" s="1" t="s">
        <v>4</v>
      </c>
      <c r="AN3" s="1" t="s">
        <v>1</v>
      </c>
      <c r="AO3" s="1" t="s">
        <v>2</v>
      </c>
      <c r="AP3" s="1" t="s">
        <v>3</v>
      </c>
      <c r="AQ3" s="1" t="s">
        <v>4</v>
      </c>
      <c r="AS3" s="1" t="s">
        <v>1</v>
      </c>
      <c r="AT3" s="1" t="s">
        <v>2</v>
      </c>
      <c r="AU3" s="1" t="s">
        <v>3</v>
      </c>
      <c r="AV3" s="1" t="s">
        <v>4</v>
      </c>
      <c r="AX3" s="1" t="s">
        <v>1</v>
      </c>
      <c r="AY3" s="1" t="s">
        <v>2</v>
      </c>
      <c r="AZ3" s="1" t="s">
        <v>3</v>
      </c>
      <c r="BA3" s="1" t="s">
        <v>4</v>
      </c>
      <c r="BC3" s="1" t="s">
        <v>1</v>
      </c>
      <c r="BD3" s="1" t="s">
        <v>2</v>
      </c>
      <c r="BE3" s="1" t="s">
        <v>3</v>
      </c>
      <c r="BF3" s="1" t="s">
        <v>4</v>
      </c>
      <c r="BH3" s="1" t="s">
        <v>1</v>
      </c>
      <c r="BI3" s="1" t="s">
        <v>2</v>
      </c>
      <c r="BJ3" s="1" t="s">
        <v>3</v>
      </c>
      <c r="BK3" s="1" t="s">
        <v>4</v>
      </c>
      <c r="BM3" s="1" t="s">
        <v>1</v>
      </c>
      <c r="BN3" s="1" t="s">
        <v>2</v>
      </c>
      <c r="BO3" s="1" t="s">
        <v>3</v>
      </c>
      <c r="BP3" s="1" t="s">
        <v>4</v>
      </c>
      <c r="BR3" s="1" t="s">
        <v>1</v>
      </c>
      <c r="BS3" s="1" t="s">
        <v>2</v>
      </c>
      <c r="BT3" s="1" t="s">
        <v>3</v>
      </c>
      <c r="BU3" s="1" t="s">
        <v>4</v>
      </c>
      <c r="BW3" s="1" t="s">
        <v>1</v>
      </c>
      <c r="BX3" s="1" t="s">
        <v>2</v>
      </c>
      <c r="BY3" s="1" t="s">
        <v>3</v>
      </c>
      <c r="BZ3" s="1" t="s">
        <v>4</v>
      </c>
    </row>
    <row r="4" spans="1:78" ht="15" customHeight="1" x14ac:dyDescent="0.25">
      <c r="D4" t="s">
        <v>21</v>
      </c>
      <c r="E4" s="4">
        <v>1</v>
      </c>
      <c r="F4" s="2">
        <v>5557</v>
      </c>
      <c r="G4" s="2">
        <v>14216</v>
      </c>
      <c r="H4" s="2">
        <v>3368</v>
      </c>
      <c r="J4" s="4">
        <v>1</v>
      </c>
      <c r="K4" s="51">
        <v>7303</v>
      </c>
      <c r="L4" s="51">
        <v>14633</v>
      </c>
      <c r="M4" s="51">
        <v>4408</v>
      </c>
      <c r="O4" s="4">
        <v>1</v>
      </c>
      <c r="P4" s="2">
        <v>6170</v>
      </c>
      <c r="Q4" s="2">
        <v>12897</v>
      </c>
      <c r="R4" s="2">
        <v>4809</v>
      </c>
      <c r="T4" s="4">
        <v>1</v>
      </c>
      <c r="U4" s="2">
        <v>6515</v>
      </c>
      <c r="V4" s="2">
        <v>15274</v>
      </c>
      <c r="W4" s="2">
        <v>4463</v>
      </c>
      <c r="Y4" s="4">
        <v>1</v>
      </c>
      <c r="Z4" s="2">
        <v>8351</v>
      </c>
      <c r="AA4" s="2">
        <v>22136</v>
      </c>
      <c r="AB4" s="2">
        <v>5639</v>
      </c>
      <c r="AD4" s="4">
        <v>1</v>
      </c>
      <c r="AE4" s="2">
        <v>7108</v>
      </c>
      <c r="AF4" s="2">
        <v>16639</v>
      </c>
      <c r="AG4" s="2">
        <v>4182</v>
      </c>
      <c r="AI4" s="4">
        <v>1</v>
      </c>
      <c r="AJ4" s="2">
        <v>6534</v>
      </c>
      <c r="AK4" s="2">
        <v>11976</v>
      </c>
      <c r="AL4" s="2">
        <v>4537</v>
      </c>
      <c r="AN4" s="4">
        <v>1</v>
      </c>
      <c r="AO4" s="2">
        <v>5449</v>
      </c>
      <c r="AP4" s="2">
        <v>13371</v>
      </c>
      <c r="AQ4" s="2">
        <v>3435</v>
      </c>
      <c r="AS4" s="4">
        <v>1</v>
      </c>
      <c r="AT4" s="2">
        <v>4888</v>
      </c>
      <c r="AU4" s="2">
        <v>11644</v>
      </c>
      <c r="AV4" s="2">
        <v>4450</v>
      </c>
      <c r="AX4" s="4">
        <v>1</v>
      </c>
      <c r="AY4" s="2">
        <v>6432</v>
      </c>
      <c r="AZ4" s="2">
        <v>15284</v>
      </c>
      <c r="BA4" s="2">
        <v>4390</v>
      </c>
      <c r="BC4" s="4">
        <v>1</v>
      </c>
      <c r="BD4" s="2">
        <v>7096</v>
      </c>
      <c r="BE4" s="2">
        <v>11462</v>
      </c>
      <c r="BF4" s="2">
        <v>3968</v>
      </c>
      <c r="BH4" s="4">
        <v>1</v>
      </c>
      <c r="BI4" s="2">
        <v>16186</v>
      </c>
      <c r="BJ4" s="2">
        <v>24409</v>
      </c>
      <c r="BK4" s="2">
        <v>7414</v>
      </c>
      <c r="BM4" s="4">
        <v>1</v>
      </c>
      <c r="BN4" s="2">
        <v>5043</v>
      </c>
      <c r="BO4" s="2">
        <v>10678</v>
      </c>
      <c r="BP4" s="2">
        <v>3441</v>
      </c>
      <c r="BR4" s="4">
        <v>1</v>
      </c>
      <c r="BS4" s="2">
        <v>6581</v>
      </c>
      <c r="BT4" s="2">
        <v>13358</v>
      </c>
      <c r="BU4" s="2">
        <v>3818</v>
      </c>
      <c r="BW4" s="4">
        <v>1</v>
      </c>
      <c r="BX4" s="2">
        <v>10030</v>
      </c>
      <c r="BY4" s="2">
        <v>20402</v>
      </c>
      <c r="BZ4" s="2">
        <v>5800</v>
      </c>
    </row>
    <row r="5" spans="1:78" ht="15" customHeight="1" x14ac:dyDescent="0.25">
      <c r="D5" t="s">
        <v>22</v>
      </c>
      <c r="E5" s="4">
        <v>1</v>
      </c>
      <c r="F5" s="2">
        <v>3554</v>
      </c>
      <c r="G5" s="2">
        <v>10086</v>
      </c>
      <c r="H5" s="2">
        <v>3255</v>
      </c>
      <c r="J5" s="4">
        <v>1</v>
      </c>
      <c r="K5" s="52"/>
      <c r="L5" s="52"/>
      <c r="M5" s="52"/>
      <c r="O5" s="4">
        <v>1</v>
      </c>
      <c r="P5" s="2">
        <v>2909</v>
      </c>
      <c r="Q5" s="2">
        <v>8910</v>
      </c>
      <c r="R5" s="2">
        <v>2429</v>
      </c>
      <c r="T5" s="4">
        <v>1</v>
      </c>
      <c r="U5" s="2">
        <v>4135</v>
      </c>
      <c r="V5" s="2">
        <v>10053</v>
      </c>
      <c r="W5" s="2">
        <v>2920</v>
      </c>
      <c r="Y5" s="4">
        <v>1</v>
      </c>
      <c r="Z5" s="2">
        <v>5585</v>
      </c>
      <c r="AA5" s="2">
        <v>18105</v>
      </c>
      <c r="AB5" s="2">
        <v>4850</v>
      </c>
      <c r="AD5" s="4">
        <v>1</v>
      </c>
      <c r="AE5" s="2">
        <v>3952</v>
      </c>
      <c r="AF5" s="2">
        <v>10894</v>
      </c>
      <c r="AG5" s="2">
        <v>3833</v>
      </c>
      <c r="AI5" s="4">
        <v>1</v>
      </c>
      <c r="AJ5" s="2">
        <v>4443</v>
      </c>
      <c r="AK5" s="2">
        <v>9473</v>
      </c>
      <c r="AL5" s="2">
        <v>3087</v>
      </c>
      <c r="AN5" s="4">
        <v>1</v>
      </c>
      <c r="AO5" s="2">
        <v>5163</v>
      </c>
      <c r="AP5" s="2">
        <v>13498</v>
      </c>
      <c r="AQ5" s="2">
        <v>4647</v>
      </c>
      <c r="AS5" s="4">
        <v>1</v>
      </c>
      <c r="AT5" s="2">
        <v>1581</v>
      </c>
      <c r="AU5" s="2">
        <v>5820</v>
      </c>
      <c r="AV5" s="2">
        <v>2430</v>
      </c>
      <c r="AX5" s="4">
        <v>1</v>
      </c>
      <c r="AY5" s="2">
        <v>4486</v>
      </c>
      <c r="AZ5" s="2">
        <v>11135</v>
      </c>
      <c r="BA5" s="2">
        <v>3060</v>
      </c>
      <c r="BC5" s="4">
        <v>1</v>
      </c>
      <c r="BD5" s="2">
        <v>4018</v>
      </c>
      <c r="BE5" s="2">
        <v>8668</v>
      </c>
      <c r="BF5" s="2">
        <v>3013</v>
      </c>
      <c r="BH5" s="4">
        <v>1</v>
      </c>
      <c r="BI5" s="2">
        <v>7428</v>
      </c>
      <c r="BJ5" s="2">
        <v>12048</v>
      </c>
      <c r="BK5" s="2">
        <v>4063</v>
      </c>
      <c r="BM5" s="4">
        <v>1</v>
      </c>
      <c r="BN5" s="2">
        <v>2667</v>
      </c>
      <c r="BO5" s="2">
        <v>6990</v>
      </c>
      <c r="BP5" s="2">
        <v>2327</v>
      </c>
      <c r="BR5" s="4">
        <v>1</v>
      </c>
      <c r="BS5" s="2">
        <v>4275</v>
      </c>
      <c r="BT5" s="2">
        <v>11314</v>
      </c>
      <c r="BU5" s="2">
        <v>3017</v>
      </c>
      <c r="BW5" s="4">
        <v>1</v>
      </c>
      <c r="BX5" s="2">
        <v>4355</v>
      </c>
      <c r="BY5" s="2">
        <v>9355</v>
      </c>
      <c r="BZ5" s="2">
        <v>2901</v>
      </c>
    </row>
    <row r="6" spans="1:78" ht="15" customHeight="1" x14ac:dyDescent="0.25">
      <c r="D6" t="s">
        <v>21</v>
      </c>
      <c r="E6" s="4">
        <v>2</v>
      </c>
      <c r="F6" s="2">
        <v>6141</v>
      </c>
      <c r="G6" s="2">
        <v>17829</v>
      </c>
      <c r="H6" s="2">
        <v>4819</v>
      </c>
      <c r="J6" s="4">
        <v>2</v>
      </c>
      <c r="K6" s="51">
        <v>6978</v>
      </c>
      <c r="L6" s="51">
        <v>13395</v>
      </c>
      <c r="M6" s="51">
        <v>3804</v>
      </c>
      <c r="O6" s="4">
        <v>2</v>
      </c>
      <c r="P6" s="2">
        <v>9605</v>
      </c>
      <c r="Q6" s="2">
        <v>16803</v>
      </c>
      <c r="R6" s="2">
        <v>4131</v>
      </c>
      <c r="T6" s="4">
        <v>2</v>
      </c>
      <c r="U6" s="2">
        <v>8689</v>
      </c>
      <c r="V6" s="2">
        <v>16747</v>
      </c>
      <c r="W6" s="2">
        <v>5095</v>
      </c>
      <c r="Y6" s="4">
        <v>2</v>
      </c>
      <c r="Z6" s="2">
        <v>8424</v>
      </c>
      <c r="AA6" s="2">
        <v>15921</v>
      </c>
      <c r="AB6" s="2">
        <v>3273</v>
      </c>
      <c r="AD6" s="4">
        <v>2</v>
      </c>
      <c r="AE6" s="2">
        <v>5795</v>
      </c>
      <c r="AF6" s="2">
        <v>16525</v>
      </c>
      <c r="AG6" s="2">
        <v>4019</v>
      </c>
      <c r="AI6" s="4">
        <v>2</v>
      </c>
      <c r="AJ6" s="2">
        <v>5688</v>
      </c>
      <c r="AK6" s="2">
        <v>13557</v>
      </c>
      <c r="AL6" s="2">
        <v>3402</v>
      </c>
      <c r="AN6" s="4">
        <v>2</v>
      </c>
      <c r="AO6" s="2">
        <v>10455</v>
      </c>
      <c r="AP6" s="2">
        <v>22397</v>
      </c>
      <c r="AQ6" s="2">
        <v>5577</v>
      </c>
      <c r="AS6" s="4">
        <v>2</v>
      </c>
      <c r="AT6" s="2">
        <v>5263</v>
      </c>
      <c r="AU6" s="2">
        <v>12606</v>
      </c>
      <c r="AV6" s="2">
        <v>4698</v>
      </c>
      <c r="AX6" s="4">
        <v>2</v>
      </c>
      <c r="AY6" s="2">
        <v>7710</v>
      </c>
      <c r="AZ6" s="2">
        <v>16959</v>
      </c>
      <c r="BA6" s="2">
        <v>5712</v>
      </c>
      <c r="BC6" s="4">
        <v>2</v>
      </c>
      <c r="BD6" s="2">
        <v>5554</v>
      </c>
      <c r="BE6" s="2">
        <v>12013</v>
      </c>
      <c r="BF6" s="2">
        <v>3659</v>
      </c>
      <c r="BH6" s="4">
        <v>2</v>
      </c>
      <c r="BI6" s="2">
        <v>10703</v>
      </c>
      <c r="BJ6" s="2">
        <v>15791</v>
      </c>
      <c r="BK6" s="2">
        <v>4967</v>
      </c>
      <c r="BM6" s="4">
        <v>2</v>
      </c>
      <c r="BN6" s="2">
        <v>13712</v>
      </c>
      <c r="BO6" s="2">
        <v>23092</v>
      </c>
      <c r="BP6" s="2">
        <v>6808</v>
      </c>
      <c r="BR6" s="4">
        <v>2</v>
      </c>
      <c r="BS6" s="2">
        <v>8040</v>
      </c>
      <c r="BT6" s="2">
        <v>13922</v>
      </c>
      <c r="BU6" s="2">
        <v>4115</v>
      </c>
      <c r="BW6" s="4">
        <v>2</v>
      </c>
      <c r="BX6" s="2">
        <v>6324</v>
      </c>
      <c r="BY6" s="2">
        <v>14038</v>
      </c>
      <c r="BZ6" s="2">
        <v>4593</v>
      </c>
    </row>
    <row r="7" spans="1:78" ht="15" customHeight="1" x14ac:dyDescent="0.25">
      <c r="D7" t="s">
        <v>22</v>
      </c>
      <c r="E7" s="4">
        <v>2</v>
      </c>
      <c r="F7" s="2">
        <v>2874</v>
      </c>
      <c r="G7" s="2">
        <v>9592</v>
      </c>
      <c r="H7" s="2">
        <v>3306</v>
      </c>
      <c r="J7" s="4">
        <v>2</v>
      </c>
      <c r="K7" s="52"/>
      <c r="L7" s="52"/>
      <c r="M7" s="52"/>
      <c r="O7" s="4">
        <v>2</v>
      </c>
      <c r="P7" s="2">
        <v>6717</v>
      </c>
      <c r="Q7" s="2">
        <v>14427</v>
      </c>
      <c r="R7" s="2">
        <v>3626</v>
      </c>
      <c r="T7" s="4">
        <v>2</v>
      </c>
      <c r="U7" s="2">
        <v>6365</v>
      </c>
      <c r="V7" s="2">
        <v>10927</v>
      </c>
      <c r="W7" s="2">
        <v>3426</v>
      </c>
      <c r="Y7" s="4">
        <v>2</v>
      </c>
      <c r="Z7" s="2">
        <v>6824</v>
      </c>
      <c r="AA7" s="2">
        <v>12816</v>
      </c>
      <c r="AB7" s="2">
        <v>3537</v>
      </c>
      <c r="AD7" s="4">
        <v>2</v>
      </c>
      <c r="AE7" s="2">
        <v>3191</v>
      </c>
      <c r="AF7" s="2">
        <v>9397</v>
      </c>
      <c r="AG7" s="2">
        <v>2660</v>
      </c>
      <c r="AI7" s="4">
        <v>2</v>
      </c>
      <c r="AJ7" s="2">
        <v>5057</v>
      </c>
      <c r="AK7" s="2">
        <v>10984</v>
      </c>
      <c r="AL7" s="2">
        <v>3538</v>
      </c>
      <c r="AN7" s="4">
        <v>2</v>
      </c>
      <c r="AO7" s="2">
        <v>7459</v>
      </c>
      <c r="AP7" s="2">
        <v>17059</v>
      </c>
      <c r="AQ7" s="2">
        <v>4946</v>
      </c>
      <c r="AS7" s="4">
        <v>2</v>
      </c>
      <c r="AT7" s="2">
        <v>2383</v>
      </c>
      <c r="AU7" s="2">
        <v>6985</v>
      </c>
      <c r="AV7" s="2">
        <v>2225</v>
      </c>
      <c r="AX7" s="4">
        <v>2</v>
      </c>
      <c r="AY7" s="2">
        <v>3193</v>
      </c>
      <c r="AZ7" s="2">
        <v>9152</v>
      </c>
      <c r="BA7" s="2">
        <v>2624</v>
      </c>
      <c r="BC7" s="4">
        <v>2</v>
      </c>
      <c r="BD7" s="2">
        <v>3561</v>
      </c>
      <c r="BE7" s="2">
        <v>9487</v>
      </c>
      <c r="BF7" s="2">
        <v>2570</v>
      </c>
      <c r="BH7" s="4">
        <v>2</v>
      </c>
      <c r="BI7" s="2">
        <v>7589</v>
      </c>
      <c r="BJ7" s="2">
        <v>13690</v>
      </c>
      <c r="BK7" s="2">
        <v>3873</v>
      </c>
      <c r="BM7" s="4">
        <v>2</v>
      </c>
      <c r="BN7" s="2">
        <v>7298</v>
      </c>
      <c r="BO7" s="2">
        <v>12468</v>
      </c>
      <c r="BP7" s="2">
        <v>4027</v>
      </c>
      <c r="BR7" s="4">
        <v>2</v>
      </c>
      <c r="BS7" s="2">
        <v>5557</v>
      </c>
      <c r="BT7" s="2">
        <v>12362</v>
      </c>
      <c r="BU7" s="2">
        <v>3744</v>
      </c>
      <c r="BW7" s="4">
        <v>2</v>
      </c>
      <c r="BX7" s="2">
        <v>2767</v>
      </c>
      <c r="BY7" s="2">
        <v>7113</v>
      </c>
      <c r="BZ7" s="2">
        <v>2154</v>
      </c>
    </row>
    <row r="8" spans="1:78" ht="15" customHeight="1" x14ac:dyDescent="0.25">
      <c r="D8" t="s">
        <v>21</v>
      </c>
      <c r="E8" s="4">
        <v>3</v>
      </c>
      <c r="F8" s="2">
        <v>9910</v>
      </c>
      <c r="G8" s="2">
        <v>18566</v>
      </c>
      <c r="H8" s="2">
        <v>5367</v>
      </c>
      <c r="J8" s="4">
        <v>3</v>
      </c>
      <c r="K8" s="51">
        <v>4641</v>
      </c>
      <c r="L8" s="51">
        <v>10669</v>
      </c>
      <c r="M8" s="51">
        <v>4132</v>
      </c>
      <c r="O8" s="4">
        <v>3</v>
      </c>
      <c r="P8" s="2">
        <v>6296</v>
      </c>
      <c r="Q8" s="2">
        <v>12129</v>
      </c>
      <c r="R8" s="2">
        <v>4352</v>
      </c>
      <c r="T8" s="4">
        <v>3</v>
      </c>
      <c r="U8" s="2">
        <v>9502</v>
      </c>
      <c r="V8" s="2">
        <v>18563</v>
      </c>
      <c r="W8" s="2">
        <v>5541</v>
      </c>
      <c r="Y8" s="4">
        <v>3</v>
      </c>
      <c r="Z8" s="2">
        <v>7946</v>
      </c>
      <c r="AA8" s="2">
        <v>17801</v>
      </c>
      <c r="AB8" s="2">
        <v>5823</v>
      </c>
      <c r="AD8" s="4">
        <v>3</v>
      </c>
      <c r="AE8" s="2">
        <v>4787</v>
      </c>
      <c r="AF8" s="2">
        <v>14821</v>
      </c>
      <c r="AG8" s="2">
        <v>3140</v>
      </c>
      <c r="AI8" s="4">
        <v>3</v>
      </c>
      <c r="AJ8" s="2">
        <v>5284</v>
      </c>
      <c r="AK8" s="2">
        <v>12344</v>
      </c>
      <c r="AL8" s="2">
        <v>3653</v>
      </c>
      <c r="AN8" s="4">
        <v>3</v>
      </c>
      <c r="AO8" s="2">
        <v>6532</v>
      </c>
      <c r="AP8" s="2">
        <v>14652</v>
      </c>
      <c r="AQ8" s="2">
        <v>5157</v>
      </c>
      <c r="AS8" s="4">
        <v>3</v>
      </c>
      <c r="AT8" s="2">
        <v>9395</v>
      </c>
      <c r="AU8" s="2">
        <v>21483</v>
      </c>
      <c r="AV8" s="2">
        <v>6513</v>
      </c>
      <c r="AX8" s="4">
        <v>3</v>
      </c>
      <c r="AY8" s="2">
        <v>5857</v>
      </c>
      <c r="AZ8" s="2">
        <v>13572</v>
      </c>
      <c r="BA8" s="2">
        <v>4664</v>
      </c>
      <c r="BC8" s="4">
        <v>3</v>
      </c>
      <c r="BD8" s="2">
        <v>3853</v>
      </c>
      <c r="BE8" s="2">
        <v>10201</v>
      </c>
      <c r="BF8" s="2">
        <v>2834</v>
      </c>
      <c r="BH8" s="4">
        <v>3</v>
      </c>
      <c r="BI8" s="2">
        <v>9946</v>
      </c>
      <c r="BJ8" s="2">
        <v>16773</v>
      </c>
      <c r="BK8" s="2">
        <v>5131</v>
      </c>
      <c r="BM8" s="4">
        <v>3</v>
      </c>
      <c r="BN8" s="2">
        <v>6584</v>
      </c>
      <c r="BO8" s="2">
        <v>13772</v>
      </c>
      <c r="BP8" s="2">
        <v>4961</v>
      </c>
      <c r="BR8" s="4">
        <v>3</v>
      </c>
      <c r="BS8" s="2">
        <v>5009</v>
      </c>
      <c r="BT8" s="2">
        <v>10895</v>
      </c>
      <c r="BU8" s="2">
        <v>3405</v>
      </c>
      <c r="BW8" s="4">
        <v>3</v>
      </c>
      <c r="BX8" s="2">
        <v>8631</v>
      </c>
      <c r="BY8" s="2">
        <v>16219</v>
      </c>
      <c r="BZ8" s="2">
        <v>4829</v>
      </c>
    </row>
    <row r="9" spans="1:78" ht="15" customHeight="1" x14ac:dyDescent="0.25">
      <c r="D9" t="s">
        <v>22</v>
      </c>
      <c r="E9" s="4">
        <v>3</v>
      </c>
      <c r="F9" s="2">
        <v>5194</v>
      </c>
      <c r="G9" s="2">
        <v>11096</v>
      </c>
      <c r="H9" s="2">
        <v>3530</v>
      </c>
      <c r="J9" s="4">
        <v>3</v>
      </c>
      <c r="K9" s="52"/>
      <c r="L9" s="52"/>
      <c r="M9" s="52"/>
      <c r="O9" s="4">
        <v>3</v>
      </c>
      <c r="P9" s="2">
        <v>3334</v>
      </c>
      <c r="Q9" s="2">
        <v>7841</v>
      </c>
      <c r="R9" s="2">
        <v>2159</v>
      </c>
      <c r="T9" s="4">
        <v>3</v>
      </c>
      <c r="U9" s="2">
        <v>4186</v>
      </c>
      <c r="V9" s="2">
        <v>9085</v>
      </c>
      <c r="W9" s="2">
        <v>3122</v>
      </c>
      <c r="Y9" s="4">
        <v>3</v>
      </c>
      <c r="Z9" s="2">
        <v>4581</v>
      </c>
      <c r="AA9" s="2">
        <v>9888</v>
      </c>
      <c r="AB9" s="2">
        <v>3075</v>
      </c>
      <c r="AD9" s="4">
        <v>3</v>
      </c>
      <c r="AE9" s="2">
        <v>3619</v>
      </c>
      <c r="AF9" s="2">
        <v>10804</v>
      </c>
      <c r="AG9" s="2">
        <v>3211</v>
      </c>
      <c r="AI9" s="4">
        <v>3</v>
      </c>
      <c r="AJ9" s="2">
        <v>2842</v>
      </c>
      <c r="AK9" s="2">
        <v>8302</v>
      </c>
      <c r="AL9" s="2">
        <v>2201</v>
      </c>
      <c r="AN9" s="4">
        <v>3</v>
      </c>
      <c r="AO9" s="2">
        <v>2496</v>
      </c>
      <c r="AP9" s="2">
        <v>7621</v>
      </c>
      <c r="AQ9" s="2">
        <v>2881</v>
      </c>
      <c r="AS9" s="4">
        <v>3</v>
      </c>
      <c r="AT9" s="2">
        <v>7684</v>
      </c>
      <c r="AU9" s="2">
        <v>14244</v>
      </c>
      <c r="AV9" s="2">
        <v>4088</v>
      </c>
      <c r="AX9" s="4">
        <v>3</v>
      </c>
      <c r="AY9" s="2">
        <v>4212</v>
      </c>
      <c r="AZ9" s="2">
        <v>10824</v>
      </c>
      <c r="BA9" s="2">
        <v>3384</v>
      </c>
      <c r="BC9" s="4">
        <v>3</v>
      </c>
      <c r="BD9" s="2">
        <v>2650</v>
      </c>
      <c r="BE9" s="2">
        <v>6776</v>
      </c>
      <c r="BF9" s="2">
        <v>2009</v>
      </c>
      <c r="BH9" s="4">
        <v>3</v>
      </c>
      <c r="BI9" s="2">
        <v>5546</v>
      </c>
      <c r="BJ9" s="2">
        <v>9857</v>
      </c>
      <c r="BK9" s="2">
        <v>3263</v>
      </c>
      <c r="BM9" s="4">
        <v>3</v>
      </c>
      <c r="BN9" s="2">
        <v>2723</v>
      </c>
      <c r="BO9" s="2">
        <v>6872</v>
      </c>
      <c r="BP9" s="2">
        <v>2206</v>
      </c>
      <c r="BR9" s="4">
        <v>3</v>
      </c>
      <c r="BS9" s="2">
        <v>4085</v>
      </c>
      <c r="BT9" s="2">
        <v>8907</v>
      </c>
      <c r="BU9" s="2">
        <v>2232</v>
      </c>
      <c r="BW9" s="4">
        <v>3</v>
      </c>
      <c r="BX9" s="2">
        <v>6568</v>
      </c>
      <c r="BY9" s="2">
        <v>12555</v>
      </c>
      <c r="BZ9" s="2">
        <v>3320</v>
      </c>
    </row>
    <row r="10" spans="1:78" ht="15" customHeight="1" x14ac:dyDescent="0.25">
      <c r="D10" t="s">
        <v>21</v>
      </c>
      <c r="E10" s="4">
        <v>4</v>
      </c>
      <c r="F10" s="2">
        <v>8478</v>
      </c>
      <c r="G10" s="2">
        <v>16434</v>
      </c>
      <c r="H10" s="2">
        <v>4862</v>
      </c>
      <c r="J10" s="4">
        <v>4</v>
      </c>
      <c r="K10" s="51">
        <v>5144</v>
      </c>
      <c r="L10" s="51">
        <v>12319</v>
      </c>
      <c r="M10" s="51">
        <v>3991</v>
      </c>
      <c r="O10" s="4">
        <v>4</v>
      </c>
      <c r="P10" s="2">
        <v>6194</v>
      </c>
      <c r="Q10" s="2">
        <v>13142</v>
      </c>
      <c r="R10" s="2">
        <v>3612</v>
      </c>
      <c r="T10" s="4">
        <v>4</v>
      </c>
      <c r="U10" s="2">
        <v>7955</v>
      </c>
      <c r="V10" s="2">
        <v>15738</v>
      </c>
      <c r="W10" s="2">
        <v>4856</v>
      </c>
      <c r="Y10" s="4">
        <v>4</v>
      </c>
      <c r="Z10" s="2">
        <v>6269</v>
      </c>
      <c r="AA10" s="2">
        <v>16017</v>
      </c>
      <c r="AB10" s="2">
        <v>4592</v>
      </c>
      <c r="AD10" s="4">
        <v>4</v>
      </c>
      <c r="AE10" s="2">
        <v>5176</v>
      </c>
      <c r="AF10" s="2">
        <v>13361</v>
      </c>
      <c r="AG10" s="2">
        <v>3790</v>
      </c>
      <c r="AI10" s="4">
        <v>4</v>
      </c>
      <c r="AJ10" s="2">
        <v>6371</v>
      </c>
      <c r="AK10" s="2">
        <v>16535</v>
      </c>
      <c r="AL10" s="2">
        <v>4961</v>
      </c>
      <c r="AN10" s="4">
        <v>4</v>
      </c>
      <c r="AO10" s="2">
        <v>9208</v>
      </c>
      <c r="AP10" s="2">
        <v>19686</v>
      </c>
      <c r="AQ10" s="2">
        <v>4234</v>
      </c>
      <c r="AS10" s="4">
        <v>4</v>
      </c>
      <c r="AT10" s="2">
        <v>7172</v>
      </c>
      <c r="AU10" s="2">
        <v>14543</v>
      </c>
      <c r="AV10" s="2">
        <v>4884</v>
      </c>
      <c r="AX10" s="4">
        <v>4</v>
      </c>
      <c r="AY10" s="2">
        <v>7842</v>
      </c>
      <c r="AZ10" s="2">
        <v>17529</v>
      </c>
      <c r="BA10" s="2">
        <v>4225</v>
      </c>
      <c r="BC10" s="4">
        <v>4</v>
      </c>
      <c r="BD10" s="2">
        <v>7231</v>
      </c>
      <c r="BE10" s="2">
        <v>13394</v>
      </c>
      <c r="BF10" s="2">
        <v>3819</v>
      </c>
      <c r="BH10" s="4">
        <v>4</v>
      </c>
      <c r="BI10" s="2">
        <v>13457</v>
      </c>
      <c r="BJ10" s="2">
        <v>20109</v>
      </c>
      <c r="BK10" s="2">
        <v>7742</v>
      </c>
      <c r="BM10" s="4">
        <v>4</v>
      </c>
      <c r="BN10" s="2">
        <v>10476</v>
      </c>
      <c r="BO10" s="2">
        <v>15285</v>
      </c>
      <c r="BP10" s="2">
        <v>5012</v>
      </c>
      <c r="BR10" s="4">
        <v>4</v>
      </c>
      <c r="BS10" s="2">
        <v>6986</v>
      </c>
      <c r="BT10" s="2">
        <v>13908</v>
      </c>
      <c r="BU10" s="2">
        <v>4365</v>
      </c>
      <c r="BW10" s="4">
        <v>4</v>
      </c>
      <c r="BX10" s="2">
        <v>5880</v>
      </c>
      <c r="BY10" s="2">
        <v>14331</v>
      </c>
      <c r="BZ10" s="2">
        <v>5549</v>
      </c>
    </row>
    <row r="11" spans="1:78" ht="15" customHeight="1" x14ac:dyDescent="0.25">
      <c r="D11" t="s">
        <v>22</v>
      </c>
      <c r="E11" s="4">
        <v>4</v>
      </c>
      <c r="F11" s="2">
        <v>3539</v>
      </c>
      <c r="G11" s="2">
        <v>9216</v>
      </c>
      <c r="H11" s="2">
        <v>3041</v>
      </c>
      <c r="J11" s="4">
        <v>4</v>
      </c>
      <c r="K11" s="52"/>
      <c r="L11" s="52"/>
      <c r="M11" s="52"/>
      <c r="O11" s="4">
        <v>4</v>
      </c>
      <c r="P11" s="2">
        <v>4055</v>
      </c>
      <c r="Q11" s="2">
        <v>11373</v>
      </c>
      <c r="R11" s="2">
        <v>3333</v>
      </c>
      <c r="T11" s="4">
        <v>4</v>
      </c>
      <c r="U11" s="2">
        <v>3436</v>
      </c>
      <c r="V11" s="2">
        <v>9057</v>
      </c>
      <c r="W11" s="2">
        <v>3409</v>
      </c>
      <c r="Y11" s="4">
        <v>4</v>
      </c>
      <c r="Z11" s="2">
        <v>5742</v>
      </c>
      <c r="AA11" s="2">
        <v>15865</v>
      </c>
      <c r="AB11" s="2">
        <v>3531</v>
      </c>
      <c r="AD11" s="4">
        <v>4</v>
      </c>
      <c r="AE11" s="2">
        <v>3843</v>
      </c>
      <c r="AF11" s="2">
        <v>10760</v>
      </c>
      <c r="AG11" s="2">
        <v>2957</v>
      </c>
      <c r="AI11" s="4">
        <v>4</v>
      </c>
      <c r="AJ11" s="2">
        <v>3531</v>
      </c>
      <c r="AK11" s="2">
        <v>12860</v>
      </c>
      <c r="AL11" s="2">
        <v>3166</v>
      </c>
      <c r="AN11" s="4">
        <v>4</v>
      </c>
      <c r="AO11" s="2">
        <v>7650</v>
      </c>
      <c r="AP11" s="2">
        <v>17260</v>
      </c>
      <c r="AQ11" s="2">
        <v>4291</v>
      </c>
      <c r="AS11" s="4">
        <v>4</v>
      </c>
      <c r="AT11" s="2">
        <v>4936</v>
      </c>
      <c r="AU11" s="2">
        <v>10224</v>
      </c>
      <c r="AV11" s="2">
        <v>3276</v>
      </c>
      <c r="AX11" s="4">
        <v>4</v>
      </c>
      <c r="AY11" s="2">
        <v>3936</v>
      </c>
      <c r="AZ11" s="2">
        <v>11793</v>
      </c>
      <c r="BA11" s="2">
        <v>3835</v>
      </c>
      <c r="BC11" s="4">
        <v>4</v>
      </c>
      <c r="BD11" s="2">
        <v>5908</v>
      </c>
      <c r="BE11" s="2">
        <v>12700</v>
      </c>
      <c r="BF11" s="2">
        <v>3739</v>
      </c>
      <c r="BH11" s="4">
        <v>4</v>
      </c>
      <c r="BI11" s="2">
        <v>3891</v>
      </c>
      <c r="BJ11" s="2">
        <v>9070</v>
      </c>
      <c r="BK11" s="2">
        <v>3249</v>
      </c>
      <c r="BM11" s="4">
        <v>4</v>
      </c>
      <c r="BN11" s="2">
        <v>5078</v>
      </c>
      <c r="BO11" s="2">
        <v>10061</v>
      </c>
      <c r="BP11" s="2">
        <v>3329</v>
      </c>
      <c r="BR11" s="4">
        <v>4</v>
      </c>
      <c r="BS11" s="2">
        <v>4237</v>
      </c>
      <c r="BT11" s="2">
        <v>9237</v>
      </c>
      <c r="BU11" s="2">
        <v>2522</v>
      </c>
      <c r="BW11" s="4">
        <v>4</v>
      </c>
      <c r="BX11" s="2">
        <v>2691</v>
      </c>
      <c r="BY11" s="2">
        <v>8227</v>
      </c>
      <c r="BZ11" s="2">
        <v>2040</v>
      </c>
    </row>
    <row r="12" spans="1:78" ht="15" customHeight="1" x14ac:dyDescent="0.25">
      <c r="D12" t="s">
        <v>21</v>
      </c>
      <c r="E12" s="4">
        <v>5</v>
      </c>
      <c r="F12" s="2">
        <v>8976</v>
      </c>
      <c r="G12" s="2">
        <v>16109</v>
      </c>
      <c r="H12" s="2">
        <v>5130</v>
      </c>
      <c r="J12" s="4">
        <v>5</v>
      </c>
      <c r="K12" s="51">
        <v>5600</v>
      </c>
      <c r="L12" s="51">
        <v>11770</v>
      </c>
      <c r="M12" s="51">
        <v>4112</v>
      </c>
      <c r="O12" s="4">
        <v>5</v>
      </c>
      <c r="P12" s="2">
        <v>8303</v>
      </c>
      <c r="Q12" s="2">
        <v>15120</v>
      </c>
      <c r="R12" s="2">
        <v>4772</v>
      </c>
      <c r="T12" s="4">
        <v>5</v>
      </c>
      <c r="U12" s="2">
        <v>4818</v>
      </c>
      <c r="V12" s="2">
        <v>10181</v>
      </c>
      <c r="W12" s="2">
        <v>3937</v>
      </c>
      <c r="Y12" s="4">
        <v>5</v>
      </c>
      <c r="Z12" s="2">
        <v>7515</v>
      </c>
      <c r="AA12" s="2">
        <v>17709</v>
      </c>
      <c r="AB12" s="2">
        <v>3529</v>
      </c>
      <c r="AD12" s="4">
        <v>5</v>
      </c>
      <c r="AE12" s="2">
        <v>3580</v>
      </c>
      <c r="AF12" s="2">
        <v>16327</v>
      </c>
      <c r="AG12" s="2">
        <v>3691</v>
      </c>
      <c r="AI12" s="4">
        <v>5</v>
      </c>
      <c r="AJ12" s="2">
        <v>5044</v>
      </c>
      <c r="AK12" s="2">
        <v>12950</v>
      </c>
      <c r="AL12" s="2">
        <v>4756</v>
      </c>
      <c r="AN12" s="4">
        <v>5</v>
      </c>
      <c r="AO12" s="2">
        <v>7721</v>
      </c>
      <c r="AP12" s="2">
        <v>19281</v>
      </c>
      <c r="AQ12" s="2">
        <v>5251</v>
      </c>
      <c r="AS12" s="4">
        <v>5</v>
      </c>
      <c r="AT12" s="2">
        <v>6618</v>
      </c>
      <c r="AU12" s="2">
        <v>15143</v>
      </c>
      <c r="AV12" s="2">
        <v>4191</v>
      </c>
      <c r="AX12" s="4">
        <v>5</v>
      </c>
      <c r="AY12" s="2">
        <v>7788</v>
      </c>
      <c r="AZ12" s="2">
        <v>17912</v>
      </c>
      <c r="BA12" s="2">
        <v>4230</v>
      </c>
      <c r="BC12" s="4">
        <v>5</v>
      </c>
      <c r="BD12" s="2">
        <v>3313</v>
      </c>
      <c r="BE12" s="2">
        <v>8599</v>
      </c>
      <c r="BF12" s="2">
        <v>2638</v>
      </c>
      <c r="BH12" s="4">
        <v>5</v>
      </c>
      <c r="BI12" s="2">
        <v>10551</v>
      </c>
      <c r="BJ12" s="2">
        <v>15358</v>
      </c>
      <c r="BK12" s="2">
        <v>4375</v>
      </c>
      <c r="BM12" s="4">
        <v>5</v>
      </c>
      <c r="BN12" s="2">
        <v>6685</v>
      </c>
      <c r="BO12" s="2">
        <v>14669</v>
      </c>
      <c r="BP12" s="2">
        <v>3901</v>
      </c>
      <c r="BR12" s="4">
        <v>5</v>
      </c>
      <c r="BS12" s="2">
        <v>4271</v>
      </c>
      <c r="BT12" s="2">
        <v>9367</v>
      </c>
      <c r="BU12" s="2">
        <v>3276</v>
      </c>
      <c r="BW12" s="4">
        <v>5</v>
      </c>
      <c r="BX12" s="2">
        <v>5809</v>
      </c>
      <c r="BY12" s="2">
        <v>12522</v>
      </c>
      <c r="BZ12" s="2">
        <v>4315</v>
      </c>
    </row>
    <row r="13" spans="1:78" ht="15" customHeight="1" x14ac:dyDescent="0.25">
      <c r="D13" t="s">
        <v>22</v>
      </c>
      <c r="E13" s="4">
        <v>5</v>
      </c>
      <c r="F13" s="2">
        <v>4360</v>
      </c>
      <c r="G13" s="2">
        <v>10215</v>
      </c>
      <c r="H13" s="2">
        <v>3303</v>
      </c>
      <c r="J13" s="4">
        <v>5</v>
      </c>
      <c r="K13" s="52"/>
      <c r="L13" s="52"/>
      <c r="M13" s="52"/>
      <c r="O13" s="4">
        <v>5</v>
      </c>
      <c r="P13" s="2">
        <v>3953</v>
      </c>
      <c r="Q13" s="2">
        <v>9577</v>
      </c>
      <c r="R13" s="2">
        <v>2351</v>
      </c>
      <c r="T13" s="4">
        <v>5</v>
      </c>
      <c r="U13" s="2">
        <v>2867</v>
      </c>
      <c r="V13" s="2">
        <v>6507</v>
      </c>
      <c r="W13" s="2">
        <v>2007</v>
      </c>
      <c r="Y13" s="4">
        <v>5</v>
      </c>
      <c r="Z13" s="2">
        <v>4350</v>
      </c>
      <c r="AA13" s="2">
        <v>12622</v>
      </c>
      <c r="AB13" s="2">
        <v>3734</v>
      </c>
      <c r="AD13" s="4">
        <v>5</v>
      </c>
      <c r="AE13" s="2">
        <v>2974</v>
      </c>
      <c r="AF13" s="2">
        <v>10257</v>
      </c>
      <c r="AG13" s="2">
        <v>3374</v>
      </c>
      <c r="AI13" s="4">
        <v>5</v>
      </c>
      <c r="AJ13" s="2">
        <v>2077</v>
      </c>
      <c r="AK13" s="2">
        <v>5938</v>
      </c>
      <c r="AL13" s="2">
        <v>1924</v>
      </c>
      <c r="AN13" s="4">
        <v>5</v>
      </c>
      <c r="AO13" s="2">
        <v>5080</v>
      </c>
      <c r="AP13" s="2">
        <v>13065</v>
      </c>
      <c r="AQ13" s="2">
        <v>3213</v>
      </c>
      <c r="AS13" s="4">
        <v>5</v>
      </c>
      <c r="AT13" s="2">
        <v>4523</v>
      </c>
      <c r="AU13" s="2">
        <v>11237</v>
      </c>
      <c r="AV13" s="2">
        <v>3870</v>
      </c>
      <c r="AX13" s="4">
        <v>5</v>
      </c>
      <c r="AY13" s="2">
        <v>3912</v>
      </c>
      <c r="AZ13" s="2">
        <v>13278</v>
      </c>
      <c r="BA13" s="2">
        <v>3902</v>
      </c>
      <c r="BC13" s="4">
        <v>5</v>
      </c>
      <c r="BD13" s="2">
        <v>1875</v>
      </c>
      <c r="BE13" s="2">
        <v>5850</v>
      </c>
      <c r="BF13" s="2">
        <v>1779</v>
      </c>
      <c r="BH13" s="4">
        <v>5</v>
      </c>
      <c r="BI13" s="2">
        <v>7081</v>
      </c>
      <c r="BJ13" s="2">
        <v>11770</v>
      </c>
      <c r="BK13" s="2">
        <v>3970</v>
      </c>
      <c r="BM13" s="4">
        <v>5</v>
      </c>
      <c r="BN13" s="2">
        <v>3428</v>
      </c>
      <c r="BO13" s="2">
        <v>8947</v>
      </c>
      <c r="BP13" s="2">
        <v>2968</v>
      </c>
      <c r="BR13" s="4">
        <v>5</v>
      </c>
      <c r="BS13" s="2">
        <v>1599</v>
      </c>
      <c r="BT13" s="2">
        <v>5792</v>
      </c>
      <c r="BU13" s="2">
        <v>1868</v>
      </c>
      <c r="BW13" s="4">
        <v>5</v>
      </c>
      <c r="BX13" s="2">
        <v>2672</v>
      </c>
      <c r="BY13" s="2">
        <v>6671</v>
      </c>
      <c r="BZ13" s="2">
        <v>2087</v>
      </c>
    </row>
    <row r="14" spans="1:78" ht="15" customHeight="1" x14ac:dyDescent="0.25">
      <c r="D14" t="s">
        <v>21</v>
      </c>
      <c r="E14" s="4">
        <v>6</v>
      </c>
      <c r="F14" s="2">
        <v>8523</v>
      </c>
      <c r="G14" s="2">
        <v>15726</v>
      </c>
      <c r="H14" s="2">
        <v>4454</v>
      </c>
      <c r="J14" s="4">
        <v>6</v>
      </c>
      <c r="K14" s="51">
        <v>7547</v>
      </c>
      <c r="L14" s="51">
        <v>15466</v>
      </c>
      <c r="M14" s="51">
        <v>4108</v>
      </c>
      <c r="O14" s="4">
        <v>6</v>
      </c>
      <c r="P14" s="2">
        <v>7194</v>
      </c>
      <c r="Q14" s="2">
        <v>18345</v>
      </c>
      <c r="R14" s="2">
        <v>5268</v>
      </c>
      <c r="T14" s="4">
        <v>6</v>
      </c>
      <c r="U14" s="2">
        <v>5511</v>
      </c>
      <c r="V14" s="2">
        <v>13927</v>
      </c>
      <c r="W14" s="2">
        <v>3774</v>
      </c>
      <c r="Y14" s="4">
        <v>6</v>
      </c>
      <c r="Z14" s="2">
        <v>7170</v>
      </c>
      <c r="AA14" s="2">
        <v>19437</v>
      </c>
      <c r="AB14" s="2">
        <v>4955</v>
      </c>
      <c r="AD14" s="4">
        <v>6</v>
      </c>
      <c r="AE14" s="2">
        <v>4563</v>
      </c>
      <c r="AF14" s="2">
        <v>13960</v>
      </c>
      <c r="AG14" s="2">
        <v>3626</v>
      </c>
      <c r="AI14" s="4">
        <v>6</v>
      </c>
      <c r="AJ14" s="2">
        <v>4369</v>
      </c>
      <c r="AK14" s="2">
        <v>11415</v>
      </c>
      <c r="AL14" s="2">
        <v>3273</v>
      </c>
      <c r="AN14" s="4">
        <v>6</v>
      </c>
      <c r="AO14" s="2">
        <v>8399</v>
      </c>
      <c r="AP14" s="2">
        <v>17888</v>
      </c>
      <c r="AQ14" s="2">
        <v>4960</v>
      </c>
      <c r="AS14" s="4">
        <v>6</v>
      </c>
      <c r="AT14" s="2">
        <v>8611</v>
      </c>
      <c r="AU14" s="2">
        <v>17749</v>
      </c>
      <c r="AV14" s="2">
        <v>6633</v>
      </c>
      <c r="AX14" s="4">
        <v>6</v>
      </c>
      <c r="AY14" s="2">
        <v>7888</v>
      </c>
      <c r="AZ14" s="2">
        <v>22489</v>
      </c>
      <c r="BA14" s="2">
        <v>5105</v>
      </c>
      <c r="BC14" s="4">
        <v>6</v>
      </c>
      <c r="BD14" s="2">
        <v>4126</v>
      </c>
      <c r="BE14" s="2">
        <v>9584</v>
      </c>
      <c r="BF14" s="2">
        <v>2870</v>
      </c>
      <c r="BH14" s="4">
        <v>6</v>
      </c>
      <c r="BI14" s="2">
        <v>10579</v>
      </c>
      <c r="BJ14" s="2">
        <v>16791</v>
      </c>
      <c r="BK14" s="2">
        <v>4780</v>
      </c>
      <c r="BM14" s="4">
        <v>6</v>
      </c>
      <c r="BN14" s="2">
        <v>7329</v>
      </c>
      <c r="BO14" s="2">
        <v>11132</v>
      </c>
      <c r="BP14" s="2">
        <v>3670</v>
      </c>
      <c r="BR14" s="4">
        <v>6</v>
      </c>
      <c r="BS14" s="2">
        <v>4730</v>
      </c>
      <c r="BT14" s="2">
        <v>9812</v>
      </c>
      <c r="BU14" s="2">
        <v>3729</v>
      </c>
      <c r="BW14" s="4">
        <v>6</v>
      </c>
      <c r="BX14" s="2">
        <v>4464</v>
      </c>
      <c r="BY14" s="2">
        <v>11539</v>
      </c>
      <c r="BZ14" s="2">
        <v>4444</v>
      </c>
    </row>
    <row r="15" spans="1:78" ht="15" customHeight="1" x14ac:dyDescent="0.25">
      <c r="D15" t="s">
        <v>22</v>
      </c>
      <c r="E15" s="4">
        <v>6</v>
      </c>
      <c r="F15" s="2">
        <v>4218</v>
      </c>
      <c r="G15" s="2">
        <v>10882</v>
      </c>
      <c r="H15" s="2">
        <v>4282</v>
      </c>
      <c r="J15" s="4">
        <v>6</v>
      </c>
      <c r="K15" s="52"/>
      <c r="L15" s="52"/>
      <c r="M15" s="52"/>
      <c r="O15" s="4">
        <v>6</v>
      </c>
      <c r="P15" s="2">
        <v>4542</v>
      </c>
      <c r="Q15" s="2">
        <v>10651</v>
      </c>
      <c r="R15" s="2">
        <v>3380</v>
      </c>
      <c r="T15" s="4">
        <v>6</v>
      </c>
      <c r="U15" s="2">
        <v>3142</v>
      </c>
      <c r="V15" s="2">
        <v>8904</v>
      </c>
      <c r="W15" s="2">
        <v>2712</v>
      </c>
      <c r="Y15" s="4">
        <v>6</v>
      </c>
      <c r="Z15" s="2">
        <v>3530</v>
      </c>
      <c r="AA15" s="2">
        <v>10809</v>
      </c>
      <c r="AB15" s="2">
        <v>3036</v>
      </c>
      <c r="AD15" s="4">
        <v>6</v>
      </c>
      <c r="AE15" s="2">
        <v>3464</v>
      </c>
      <c r="AF15" s="2">
        <v>9619</v>
      </c>
      <c r="AG15" s="2">
        <v>2363</v>
      </c>
      <c r="AI15" s="4">
        <v>6</v>
      </c>
      <c r="AJ15" s="2">
        <v>3231</v>
      </c>
      <c r="AK15" s="2">
        <v>8445</v>
      </c>
      <c r="AL15" s="2">
        <v>2182</v>
      </c>
      <c r="AN15" s="4">
        <v>6</v>
      </c>
      <c r="AO15" s="2">
        <v>5808</v>
      </c>
      <c r="AP15" s="2">
        <v>13676</v>
      </c>
      <c r="AQ15" s="2">
        <v>5270</v>
      </c>
      <c r="AS15" s="4">
        <v>6</v>
      </c>
      <c r="AT15" s="2">
        <v>5614</v>
      </c>
      <c r="AU15" s="2">
        <v>9879</v>
      </c>
      <c r="AV15" s="2">
        <v>2972</v>
      </c>
      <c r="AX15" s="4">
        <v>6</v>
      </c>
      <c r="AY15" s="2">
        <v>3264</v>
      </c>
      <c r="AZ15" s="2">
        <v>11910</v>
      </c>
      <c r="BA15" s="2">
        <v>3033</v>
      </c>
      <c r="BC15" s="4">
        <v>6</v>
      </c>
      <c r="BD15" s="2">
        <v>3585</v>
      </c>
      <c r="BE15" s="2">
        <v>8584</v>
      </c>
      <c r="BF15" s="2">
        <v>2388</v>
      </c>
      <c r="BH15" s="4">
        <v>6</v>
      </c>
      <c r="BI15" s="2">
        <v>5892</v>
      </c>
      <c r="BJ15" s="2">
        <v>11559</v>
      </c>
      <c r="BK15" s="2">
        <v>4179</v>
      </c>
      <c r="BM15" s="4">
        <v>6</v>
      </c>
      <c r="BN15" s="2">
        <v>4012</v>
      </c>
      <c r="BO15" s="2">
        <v>9466</v>
      </c>
      <c r="BP15" s="2">
        <v>2513</v>
      </c>
      <c r="BR15" s="4">
        <v>6</v>
      </c>
      <c r="BS15" s="2">
        <v>1886</v>
      </c>
      <c r="BT15" s="2">
        <v>5661</v>
      </c>
      <c r="BU15" s="2">
        <v>1986</v>
      </c>
      <c r="BW15" s="4">
        <v>6</v>
      </c>
      <c r="BX15" s="2">
        <v>2315</v>
      </c>
      <c r="BY15" s="2">
        <v>6446</v>
      </c>
      <c r="BZ15" s="2">
        <v>2213</v>
      </c>
    </row>
    <row r="16" spans="1:78" ht="15" customHeight="1" x14ac:dyDescent="0.25">
      <c r="D16" t="s">
        <v>21</v>
      </c>
      <c r="E16" s="4">
        <v>7</v>
      </c>
      <c r="F16" s="2">
        <v>7085</v>
      </c>
      <c r="G16" s="2">
        <v>13886</v>
      </c>
      <c r="H16" s="2">
        <v>4574</v>
      </c>
      <c r="J16" s="4">
        <v>7</v>
      </c>
      <c r="K16" s="51">
        <v>2978</v>
      </c>
      <c r="L16" s="51">
        <v>8414</v>
      </c>
      <c r="M16" s="51">
        <v>3070</v>
      </c>
      <c r="O16" s="4">
        <v>7</v>
      </c>
      <c r="P16" s="2">
        <v>8605</v>
      </c>
      <c r="Q16" s="2">
        <v>21265</v>
      </c>
      <c r="R16" s="2">
        <v>4943</v>
      </c>
      <c r="T16" s="4">
        <v>7</v>
      </c>
      <c r="U16" s="2">
        <v>5836</v>
      </c>
      <c r="V16" s="2">
        <v>13612</v>
      </c>
      <c r="W16" s="2">
        <v>5586</v>
      </c>
      <c r="Y16" s="4">
        <v>7</v>
      </c>
      <c r="Z16" s="2">
        <v>7558</v>
      </c>
      <c r="AA16" s="2">
        <v>18653</v>
      </c>
      <c r="AB16" s="2">
        <v>5200</v>
      </c>
      <c r="AD16" s="4">
        <v>7</v>
      </c>
      <c r="AE16" s="2">
        <v>5138</v>
      </c>
      <c r="AF16" s="2">
        <v>14971</v>
      </c>
      <c r="AG16" s="2">
        <v>3629</v>
      </c>
      <c r="AI16" s="4">
        <v>7</v>
      </c>
      <c r="AJ16" s="2">
        <v>5533</v>
      </c>
      <c r="AK16" s="2">
        <v>13318</v>
      </c>
      <c r="AL16" s="2">
        <v>4122</v>
      </c>
      <c r="AN16" s="4">
        <v>7</v>
      </c>
      <c r="AO16" s="2">
        <v>11364</v>
      </c>
      <c r="AP16" s="2">
        <v>23259</v>
      </c>
      <c r="AQ16" s="2">
        <v>5215</v>
      </c>
      <c r="AS16" s="4">
        <v>7</v>
      </c>
      <c r="AT16" s="2">
        <v>8711</v>
      </c>
      <c r="AU16" s="2">
        <v>14739</v>
      </c>
      <c r="AV16" s="2">
        <v>5132</v>
      </c>
      <c r="AX16" s="4">
        <v>7</v>
      </c>
      <c r="AY16" s="2">
        <v>7795</v>
      </c>
      <c r="AZ16" s="2">
        <v>17886</v>
      </c>
      <c r="BA16" s="2">
        <v>4644</v>
      </c>
      <c r="BC16" s="4">
        <v>7</v>
      </c>
      <c r="BD16" s="2">
        <v>2987</v>
      </c>
      <c r="BE16" s="2">
        <v>10667</v>
      </c>
      <c r="BF16" s="2">
        <v>3155</v>
      </c>
      <c r="BH16" s="4">
        <v>7</v>
      </c>
      <c r="BI16" s="2">
        <v>8130</v>
      </c>
      <c r="BJ16" s="2">
        <v>17429</v>
      </c>
      <c r="BK16" s="2">
        <v>4939</v>
      </c>
      <c r="BM16" s="4">
        <v>7</v>
      </c>
      <c r="BN16" s="2">
        <v>11347</v>
      </c>
      <c r="BO16" s="2">
        <v>14524</v>
      </c>
      <c r="BP16" s="2">
        <v>4832</v>
      </c>
      <c r="BR16" s="4">
        <v>7</v>
      </c>
      <c r="BS16" s="2">
        <v>3275</v>
      </c>
      <c r="BT16" s="2">
        <v>7034</v>
      </c>
      <c r="BU16" s="2">
        <v>1994</v>
      </c>
      <c r="BW16" s="4">
        <v>7</v>
      </c>
      <c r="BX16" s="2">
        <v>7492</v>
      </c>
      <c r="BY16" s="2">
        <v>16920</v>
      </c>
      <c r="BZ16" s="2">
        <v>4439</v>
      </c>
    </row>
    <row r="17" spans="4:78" ht="15" customHeight="1" x14ac:dyDescent="0.25">
      <c r="D17" t="s">
        <v>22</v>
      </c>
      <c r="E17" s="4">
        <v>7</v>
      </c>
      <c r="F17" s="2">
        <v>4705</v>
      </c>
      <c r="G17" s="2">
        <v>9976</v>
      </c>
      <c r="H17" s="2">
        <v>3219</v>
      </c>
      <c r="J17" s="4">
        <v>7</v>
      </c>
      <c r="K17" s="52"/>
      <c r="L17" s="52"/>
      <c r="M17" s="52"/>
      <c r="O17" s="4">
        <v>7</v>
      </c>
      <c r="P17" s="2">
        <v>6483</v>
      </c>
      <c r="Q17" s="2">
        <v>15891</v>
      </c>
      <c r="R17" s="2">
        <v>4953</v>
      </c>
      <c r="T17" s="4">
        <v>7</v>
      </c>
      <c r="U17" s="2">
        <v>2405</v>
      </c>
      <c r="V17" s="2">
        <v>6526</v>
      </c>
      <c r="W17" s="2">
        <v>1557</v>
      </c>
      <c r="Y17" s="4">
        <v>7</v>
      </c>
      <c r="Z17" s="2">
        <v>4622</v>
      </c>
      <c r="AA17" s="2">
        <v>11499</v>
      </c>
      <c r="AB17" s="2">
        <v>2428</v>
      </c>
      <c r="AD17" s="4">
        <v>7</v>
      </c>
      <c r="AE17" s="2">
        <v>3834</v>
      </c>
      <c r="AF17" s="2">
        <v>12168</v>
      </c>
      <c r="AG17" s="2">
        <v>2996</v>
      </c>
      <c r="AI17" s="4">
        <v>7</v>
      </c>
      <c r="AJ17" s="2">
        <v>3299</v>
      </c>
      <c r="AK17" s="2">
        <v>9283</v>
      </c>
      <c r="AL17" s="2">
        <v>2838</v>
      </c>
      <c r="AN17" s="4">
        <v>7</v>
      </c>
      <c r="AO17" s="2">
        <v>10599</v>
      </c>
      <c r="AP17" s="2">
        <v>21759</v>
      </c>
      <c r="AQ17" s="2">
        <v>5146</v>
      </c>
      <c r="AS17" s="4">
        <v>7</v>
      </c>
      <c r="AT17" s="2">
        <v>4859</v>
      </c>
      <c r="AU17" s="2">
        <v>11306</v>
      </c>
      <c r="AV17" s="2">
        <v>4165</v>
      </c>
      <c r="AX17" s="4">
        <v>7</v>
      </c>
      <c r="AY17" s="2">
        <v>3179</v>
      </c>
      <c r="AZ17" s="2">
        <v>10494</v>
      </c>
      <c r="BA17" s="2">
        <v>3861</v>
      </c>
      <c r="BC17" s="4">
        <v>7</v>
      </c>
      <c r="BD17" s="2">
        <v>1660</v>
      </c>
      <c r="BE17" s="2">
        <v>5816</v>
      </c>
      <c r="BF17" s="2">
        <v>1851</v>
      </c>
      <c r="BH17" s="4">
        <v>7</v>
      </c>
      <c r="BI17" s="2">
        <v>4914</v>
      </c>
      <c r="BJ17" s="2">
        <v>12040</v>
      </c>
      <c r="BK17" s="2">
        <v>3777</v>
      </c>
      <c r="BM17" s="4">
        <v>7</v>
      </c>
      <c r="BN17" s="2">
        <v>6275</v>
      </c>
      <c r="BO17" s="2">
        <v>12792</v>
      </c>
      <c r="BP17" s="2">
        <v>3061</v>
      </c>
      <c r="BR17" s="4">
        <v>7</v>
      </c>
      <c r="BS17" s="2">
        <v>1757</v>
      </c>
      <c r="BT17" s="2">
        <v>5861</v>
      </c>
      <c r="BU17" s="2">
        <v>2156</v>
      </c>
      <c r="BW17" s="4">
        <v>7</v>
      </c>
      <c r="BX17" s="2">
        <v>4142</v>
      </c>
      <c r="BY17" s="2">
        <v>10703</v>
      </c>
      <c r="BZ17" s="2">
        <v>3350</v>
      </c>
    </row>
    <row r="18" spans="4:78" ht="15" customHeight="1" x14ac:dyDescent="0.25">
      <c r="D18" t="s">
        <v>21</v>
      </c>
      <c r="E18" s="4">
        <v>8</v>
      </c>
      <c r="F18" s="2">
        <v>7338</v>
      </c>
      <c r="G18" s="2">
        <v>15702</v>
      </c>
      <c r="H18" s="2">
        <v>4408</v>
      </c>
      <c r="J18" s="4">
        <v>8</v>
      </c>
      <c r="K18" s="51">
        <v>5531</v>
      </c>
      <c r="L18" s="51">
        <v>10117</v>
      </c>
      <c r="M18" s="51">
        <v>3603</v>
      </c>
      <c r="O18" s="4">
        <v>8</v>
      </c>
      <c r="P18" s="2">
        <v>6227</v>
      </c>
      <c r="Q18" s="2">
        <v>15176</v>
      </c>
      <c r="R18" s="2">
        <v>4653</v>
      </c>
      <c r="T18" s="4">
        <v>8</v>
      </c>
      <c r="U18" s="2">
        <v>5543</v>
      </c>
      <c r="V18" s="2">
        <v>12430</v>
      </c>
      <c r="W18" s="2">
        <v>3363</v>
      </c>
      <c r="Y18" s="4">
        <v>8</v>
      </c>
      <c r="Z18" s="2">
        <v>5555</v>
      </c>
      <c r="AA18" s="2">
        <v>17508</v>
      </c>
      <c r="AB18" s="2">
        <v>3752</v>
      </c>
      <c r="AD18" s="4">
        <v>8</v>
      </c>
      <c r="AE18" s="2">
        <v>6743</v>
      </c>
      <c r="AF18" s="2">
        <v>14014</v>
      </c>
      <c r="AG18" s="2">
        <v>4515</v>
      </c>
      <c r="AI18" s="4">
        <v>8</v>
      </c>
      <c r="AJ18" s="2">
        <v>8713</v>
      </c>
      <c r="AK18" s="2">
        <v>16309</v>
      </c>
      <c r="AL18" s="2">
        <v>4465</v>
      </c>
      <c r="AN18" s="4">
        <v>8</v>
      </c>
      <c r="AO18" s="2">
        <v>5435</v>
      </c>
      <c r="AP18" s="2">
        <v>14250</v>
      </c>
      <c r="AQ18" s="2">
        <v>4643</v>
      </c>
      <c r="AS18" s="4">
        <v>8</v>
      </c>
      <c r="AT18" s="2">
        <v>7539</v>
      </c>
      <c r="AU18" s="2">
        <v>18556</v>
      </c>
      <c r="AV18" s="2">
        <v>3559</v>
      </c>
      <c r="AX18" s="4">
        <v>8</v>
      </c>
      <c r="AY18" s="2">
        <v>7532</v>
      </c>
      <c r="AZ18" s="2">
        <v>19141</v>
      </c>
      <c r="BA18" s="2">
        <v>4737</v>
      </c>
      <c r="BC18" s="4">
        <v>8</v>
      </c>
      <c r="BH18" s="4">
        <v>8</v>
      </c>
      <c r="BI18" s="2">
        <v>12609</v>
      </c>
      <c r="BJ18" s="2">
        <v>18720</v>
      </c>
      <c r="BK18" s="2">
        <v>4934</v>
      </c>
      <c r="BM18" s="4">
        <v>8</v>
      </c>
      <c r="BN18" s="2">
        <v>4620</v>
      </c>
      <c r="BO18" s="2">
        <v>9075</v>
      </c>
      <c r="BP18" s="2">
        <v>3066</v>
      </c>
      <c r="BR18" s="4">
        <v>8</v>
      </c>
      <c r="BW18" s="4">
        <v>8</v>
      </c>
      <c r="BX18" s="2">
        <v>5891</v>
      </c>
      <c r="BY18" s="2">
        <v>14246</v>
      </c>
      <c r="BZ18" s="2">
        <v>4974</v>
      </c>
    </row>
    <row r="19" spans="4:78" ht="15" customHeight="1" x14ac:dyDescent="0.25">
      <c r="D19" t="s">
        <v>22</v>
      </c>
      <c r="E19" s="4">
        <v>8</v>
      </c>
      <c r="F19" s="2">
        <v>2864</v>
      </c>
      <c r="G19" s="2">
        <v>8147</v>
      </c>
      <c r="H19" s="2">
        <v>2933</v>
      </c>
      <c r="J19" s="4">
        <v>8</v>
      </c>
      <c r="K19" s="52"/>
      <c r="L19" s="52"/>
      <c r="M19" s="52"/>
      <c r="O19" s="4">
        <v>8</v>
      </c>
      <c r="P19" s="2">
        <v>2612</v>
      </c>
      <c r="Q19" s="2">
        <v>7923</v>
      </c>
      <c r="R19" s="2">
        <v>2738</v>
      </c>
      <c r="T19" s="4">
        <v>8</v>
      </c>
      <c r="U19" s="2">
        <v>3302</v>
      </c>
      <c r="V19" s="2">
        <v>8809</v>
      </c>
      <c r="W19" s="2">
        <v>2917</v>
      </c>
      <c r="Y19" s="4">
        <v>8</v>
      </c>
      <c r="Z19" s="2">
        <v>5023</v>
      </c>
      <c r="AA19" s="2">
        <v>15066</v>
      </c>
      <c r="AB19" s="2">
        <v>4234</v>
      </c>
      <c r="AD19" s="4">
        <v>8</v>
      </c>
      <c r="AE19" s="2">
        <v>4316</v>
      </c>
      <c r="AF19" s="2">
        <v>11635</v>
      </c>
      <c r="AG19" s="2">
        <v>3217</v>
      </c>
      <c r="AI19" s="4">
        <v>8</v>
      </c>
      <c r="AJ19" s="2">
        <v>5238</v>
      </c>
      <c r="AK19" s="2">
        <v>12371</v>
      </c>
      <c r="AL19" s="2">
        <v>4324</v>
      </c>
      <c r="AN19" s="4">
        <v>8</v>
      </c>
      <c r="AO19" s="2">
        <v>3087</v>
      </c>
      <c r="AP19" s="2">
        <v>8013</v>
      </c>
      <c r="AQ19" s="2">
        <v>2336</v>
      </c>
      <c r="AS19" s="4">
        <v>8</v>
      </c>
      <c r="AT19" s="2">
        <v>5389</v>
      </c>
      <c r="AU19" s="2">
        <v>10267</v>
      </c>
      <c r="AV19" s="2">
        <v>3473</v>
      </c>
      <c r="AX19" s="4">
        <v>8</v>
      </c>
      <c r="AY19" s="2">
        <v>5285</v>
      </c>
      <c r="AZ19" s="2">
        <v>13781</v>
      </c>
      <c r="BA19" s="2">
        <v>4100</v>
      </c>
      <c r="BC19" s="4">
        <v>8</v>
      </c>
      <c r="BH19" s="4">
        <v>8</v>
      </c>
      <c r="BI19" s="2">
        <v>8480</v>
      </c>
      <c r="BJ19" s="2">
        <v>14485</v>
      </c>
      <c r="BK19" s="2">
        <v>4714</v>
      </c>
      <c r="BM19" s="4">
        <v>8</v>
      </c>
      <c r="BN19" s="2">
        <v>3046</v>
      </c>
      <c r="BO19" s="2">
        <v>7017</v>
      </c>
      <c r="BP19" s="2">
        <v>2019</v>
      </c>
      <c r="BR19" s="4">
        <v>8</v>
      </c>
      <c r="BW19" s="4">
        <v>8</v>
      </c>
      <c r="BX19" s="2">
        <v>3203</v>
      </c>
      <c r="BY19" s="2">
        <v>8167</v>
      </c>
      <c r="BZ19" s="2">
        <v>2180</v>
      </c>
    </row>
    <row r="20" spans="4:78" ht="15" customHeight="1" x14ac:dyDescent="0.25">
      <c r="D20" t="s">
        <v>21</v>
      </c>
      <c r="E20" s="4">
        <v>9</v>
      </c>
      <c r="F20" s="2">
        <v>6004</v>
      </c>
      <c r="G20" s="2">
        <v>13646</v>
      </c>
      <c r="H20" s="2">
        <v>4763</v>
      </c>
      <c r="J20" s="4">
        <v>9</v>
      </c>
      <c r="K20" s="51">
        <v>6234</v>
      </c>
      <c r="L20" s="51">
        <v>14303</v>
      </c>
      <c r="M20" s="51">
        <v>3988</v>
      </c>
      <c r="O20" s="4">
        <v>9</v>
      </c>
      <c r="P20" s="2">
        <v>7107</v>
      </c>
      <c r="Q20" s="2">
        <v>11813</v>
      </c>
      <c r="R20" s="2">
        <v>4051</v>
      </c>
      <c r="T20" s="4">
        <v>9</v>
      </c>
      <c r="U20" s="2">
        <v>8199</v>
      </c>
      <c r="V20" s="2">
        <v>16249</v>
      </c>
      <c r="W20" s="2">
        <v>5407</v>
      </c>
      <c r="Y20" s="4">
        <v>9</v>
      </c>
      <c r="Z20" s="2">
        <v>4710</v>
      </c>
      <c r="AA20" s="2">
        <v>11274</v>
      </c>
      <c r="AB20" s="2">
        <v>3540</v>
      </c>
      <c r="AD20" s="4">
        <v>9</v>
      </c>
      <c r="AE20" s="2">
        <v>5732</v>
      </c>
      <c r="AF20" s="2">
        <v>13733</v>
      </c>
      <c r="AG20" s="2">
        <v>3882</v>
      </c>
      <c r="AI20" s="4">
        <v>9</v>
      </c>
      <c r="AJ20" s="2">
        <v>8040</v>
      </c>
      <c r="AK20" s="2">
        <v>14650</v>
      </c>
      <c r="AL20" s="2">
        <v>4883</v>
      </c>
      <c r="AN20" s="4">
        <v>9</v>
      </c>
      <c r="AO20" s="2">
        <v>6580</v>
      </c>
      <c r="AP20" s="2">
        <v>14531</v>
      </c>
      <c r="AQ20" s="2">
        <v>3529</v>
      </c>
      <c r="AS20" s="4">
        <v>9</v>
      </c>
      <c r="AT20" s="2">
        <v>6823</v>
      </c>
      <c r="AU20" s="2">
        <v>13497</v>
      </c>
      <c r="AV20" s="2">
        <v>4015</v>
      </c>
      <c r="AX20" s="4">
        <v>9</v>
      </c>
      <c r="AY20" s="2">
        <v>5615</v>
      </c>
      <c r="AZ20" s="2">
        <v>14364</v>
      </c>
      <c r="BA20" s="2">
        <v>3900</v>
      </c>
      <c r="BC20" s="4">
        <v>9</v>
      </c>
      <c r="BH20" s="4">
        <v>9</v>
      </c>
      <c r="BI20" s="2">
        <v>9249</v>
      </c>
      <c r="BJ20" s="2">
        <v>16806</v>
      </c>
      <c r="BK20" s="2">
        <v>6499</v>
      </c>
      <c r="BM20" s="4">
        <v>9</v>
      </c>
      <c r="BR20" s="4">
        <v>9</v>
      </c>
      <c r="BW20" s="4">
        <v>9</v>
      </c>
      <c r="BX20" s="2">
        <v>4697</v>
      </c>
      <c r="BY20" s="2">
        <v>11200</v>
      </c>
      <c r="BZ20" s="2">
        <v>4471</v>
      </c>
    </row>
    <row r="21" spans="4:78" ht="15" customHeight="1" x14ac:dyDescent="0.25">
      <c r="D21" t="s">
        <v>22</v>
      </c>
      <c r="E21" s="4">
        <v>9</v>
      </c>
      <c r="F21" s="2">
        <v>2868</v>
      </c>
      <c r="G21" s="2">
        <v>7695</v>
      </c>
      <c r="H21" s="2">
        <v>2645</v>
      </c>
      <c r="J21" s="4">
        <v>9</v>
      </c>
      <c r="K21" s="52"/>
      <c r="L21" s="52"/>
      <c r="M21" s="52"/>
      <c r="O21" s="4">
        <v>9</v>
      </c>
      <c r="P21" s="2">
        <v>5387</v>
      </c>
      <c r="Q21" s="2">
        <v>10325</v>
      </c>
      <c r="R21" s="2">
        <v>2662</v>
      </c>
      <c r="T21" s="4">
        <v>9</v>
      </c>
      <c r="U21" s="2">
        <v>3459</v>
      </c>
      <c r="V21" s="2">
        <v>9505</v>
      </c>
      <c r="W21" s="2">
        <v>3293</v>
      </c>
      <c r="Y21" s="4">
        <v>9</v>
      </c>
      <c r="Z21" s="2">
        <v>2446</v>
      </c>
      <c r="AA21" s="2">
        <v>9198</v>
      </c>
      <c r="AB21" s="2">
        <v>1891</v>
      </c>
      <c r="AD21" s="4">
        <v>9</v>
      </c>
      <c r="AE21" s="2">
        <v>3140</v>
      </c>
      <c r="AF21" s="2">
        <v>9198</v>
      </c>
      <c r="AG21" s="2">
        <v>2423</v>
      </c>
      <c r="AI21" s="4">
        <v>9</v>
      </c>
      <c r="AJ21" s="2">
        <v>3094</v>
      </c>
      <c r="AK21" s="2">
        <v>8893</v>
      </c>
      <c r="AL21" s="2">
        <v>2578</v>
      </c>
      <c r="AN21" s="4">
        <v>9</v>
      </c>
      <c r="AO21" s="2">
        <v>4865</v>
      </c>
      <c r="AP21" s="2">
        <v>11736</v>
      </c>
      <c r="AQ21" s="2">
        <v>3796</v>
      </c>
      <c r="AS21" s="4">
        <v>9</v>
      </c>
      <c r="AT21" s="2">
        <v>4355</v>
      </c>
      <c r="AU21" s="2">
        <v>10199</v>
      </c>
      <c r="AV21" s="2">
        <v>3456</v>
      </c>
      <c r="AX21" s="4">
        <v>9</v>
      </c>
      <c r="AY21" s="2">
        <v>2813</v>
      </c>
      <c r="AZ21" s="2">
        <v>8549</v>
      </c>
      <c r="BA21" s="2">
        <v>2380</v>
      </c>
      <c r="BC21" s="4">
        <v>9</v>
      </c>
      <c r="BH21" s="4">
        <v>9</v>
      </c>
      <c r="BI21" s="2">
        <v>3548</v>
      </c>
      <c r="BJ21" s="2">
        <v>8246</v>
      </c>
      <c r="BK21" s="2">
        <v>2569</v>
      </c>
      <c r="BM21" s="4">
        <v>9</v>
      </c>
      <c r="BR21" s="4">
        <v>9</v>
      </c>
      <c r="BW21" s="4">
        <v>9</v>
      </c>
      <c r="BX21" s="2">
        <v>1574</v>
      </c>
      <c r="BY21" s="2">
        <v>5159</v>
      </c>
      <c r="BZ21" s="2">
        <v>1526</v>
      </c>
    </row>
    <row r="22" spans="4:78" ht="15" customHeight="1" x14ac:dyDescent="0.25">
      <c r="D22" t="s">
        <v>21</v>
      </c>
      <c r="E22" s="4">
        <v>10</v>
      </c>
      <c r="F22" s="2">
        <v>7300</v>
      </c>
      <c r="G22" s="2">
        <v>15911</v>
      </c>
      <c r="H22" s="2">
        <v>4832</v>
      </c>
      <c r="J22" s="4">
        <v>10</v>
      </c>
      <c r="K22" s="51">
        <v>3677</v>
      </c>
      <c r="L22" s="51">
        <v>9799</v>
      </c>
      <c r="M22" s="51">
        <v>3795</v>
      </c>
      <c r="O22" s="4">
        <v>10</v>
      </c>
      <c r="P22" s="2">
        <v>7141</v>
      </c>
      <c r="Q22" s="2">
        <v>16467</v>
      </c>
      <c r="R22" s="2">
        <v>5604</v>
      </c>
      <c r="T22" s="4">
        <v>10</v>
      </c>
      <c r="U22" s="2">
        <v>6591</v>
      </c>
      <c r="V22" s="2">
        <v>11111</v>
      </c>
      <c r="W22" s="2">
        <v>3561</v>
      </c>
      <c r="Y22" s="4">
        <v>10</v>
      </c>
      <c r="Z22" s="2">
        <v>9259</v>
      </c>
      <c r="AA22" s="2">
        <v>21845</v>
      </c>
      <c r="AB22" s="2">
        <v>4251</v>
      </c>
      <c r="AD22" s="4">
        <v>10</v>
      </c>
      <c r="AE22" s="2">
        <v>4500</v>
      </c>
      <c r="AF22" s="2">
        <v>11171</v>
      </c>
      <c r="AG22" s="2">
        <v>3668</v>
      </c>
      <c r="AI22" s="4">
        <v>10</v>
      </c>
      <c r="AJ22" s="2">
        <v>4982</v>
      </c>
      <c r="AK22" s="2">
        <v>10249</v>
      </c>
      <c r="AL22" s="2">
        <v>3599</v>
      </c>
      <c r="AN22" s="4">
        <v>10</v>
      </c>
      <c r="AO22" s="2">
        <v>8578</v>
      </c>
      <c r="AP22" s="2">
        <v>20295</v>
      </c>
      <c r="AQ22" s="2">
        <v>4673</v>
      </c>
      <c r="AS22" s="4">
        <v>10</v>
      </c>
      <c r="AT22" s="2">
        <v>9127</v>
      </c>
      <c r="AU22" s="2">
        <v>15269</v>
      </c>
      <c r="AV22" s="2">
        <v>4675</v>
      </c>
      <c r="AX22" s="4">
        <v>10</v>
      </c>
      <c r="AY22" s="2">
        <v>6562</v>
      </c>
      <c r="AZ22" s="2">
        <v>21402</v>
      </c>
      <c r="BA22" s="2">
        <v>7364</v>
      </c>
      <c r="BC22" s="4">
        <v>10</v>
      </c>
      <c r="BH22" s="4">
        <v>10</v>
      </c>
      <c r="BI22" s="2">
        <v>9158</v>
      </c>
      <c r="BJ22" s="2">
        <v>15885</v>
      </c>
      <c r="BK22" s="2">
        <v>5021</v>
      </c>
      <c r="BM22" s="4">
        <v>10</v>
      </c>
      <c r="BR22" s="4">
        <v>10</v>
      </c>
      <c r="BW22" s="4">
        <v>10</v>
      </c>
      <c r="BX22" s="2">
        <v>4904</v>
      </c>
      <c r="BY22" s="2">
        <v>11529</v>
      </c>
      <c r="BZ22" s="2">
        <v>4458</v>
      </c>
    </row>
    <row r="23" spans="4:78" ht="15" customHeight="1" x14ac:dyDescent="0.25">
      <c r="D23" t="s">
        <v>22</v>
      </c>
      <c r="E23" s="4">
        <v>10</v>
      </c>
      <c r="F23" s="2">
        <v>6077</v>
      </c>
      <c r="G23" s="2">
        <v>11169</v>
      </c>
      <c r="H23" s="2">
        <v>3680</v>
      </c>
      <c r="J23" s="4">
        <v>10</v>
      </c>
      <c r="K23" s="52"/>
      <c r="L23" s="52"/>
      <c r="M23" s="52"/>
      <c r="O23" s="4">
        <v>10</v>
      </c>
      <c r="P23" s="2">
        <v>3282</v>
      </c>
      <c r="Q23" s="2">
        <v>8621</v>
      </c>
      <c r="R23" s="2">
        <v>3075</v>
      </c>
      <c r="T23" s="4">
        <v>10</v>
      </c>
      <c r="U23" s="2">
        <v>3467</v>
      </c>
      <c r="V23" s="2">
        <v>9133</v>
      </c>
      <c r="W23" s="2">
        <v>3087</v>
      </c>
      <c r="Y23" s="4">
        <v>10</v>
      </c>
      <c r="Z23" s="2">
        <v>5917</v>
      </c>
      <c r="AA23" s="2">
        <v>14140</v>
      </c>
      <c r="AB23" s="2">
        <v>4834</v>
      </c>
      <c r="AD23" s="4">
        <v>10</v>
      </c>
      <c r="AE23" s="2">
        <v>2948</v>
      </c>
      <c r="AF23" s="2">
        <v>8190</v>
      </c>
      <c r="AG23" s="2">
        <v>2576</v>
      </c>
      <c r="AI23" s="4">
        <v>10</v>
      </c>
      <c r="AJ23" s="2">
        <v>3676</v>
      </c>
      <c r="AK23" s="2">
        <v>8952</v>
      </c>
      <c r="AL23" s="2">
        <v>2807</v>
      </c>
      <c r="AN23" s="4">
        <v>10</v>
      </c>
      <c r="AO23" s="2">
        <v>5036</v>
      </c>
      <c r="AP23" s="2">
        <v>14011</v>
      </c>
      <c r="AQ23" s="2">
        <v>3614</v>
      </c>
      <c r="AS23" s="4">
        <v>10</v>
      </c>
      <c r="AT23" s="2">
        <v>6344</v>
      </c>
      <c r="AU23" s="2">
        <v>13293</v>
      </c>
      <c r="AV23" s="2">
        <v>4073</v>
      </c>
      <c r="AX23" s="4">
        <v>10</v>
      </c>
      <c r="AY23" s="2">
        <v>4315</v>
      </c>
      <c r="AZ23" s="2">
        <v>12089</v>
      </c>
      <c r="BA23" s="2">
        <v>3965</v>
      </c>
      <c r="BC23" s="4">
        <v>10</v>
      </c>
      <c r="BH23" s="4">
        <v>10</v>
      </c>
      <c r="BI23" s="2">
        <v>4668</v>
      </c>
      <c r="BJ23" s="2">
        <v>8675</v>
      </c>
      <c r="BK23" s="2">
        <v>2568</v>
      </c>
      <c r="BM23" s="4">
        <v>10</v>
      </c>
      <c r="BR23" s="4">
        <v>10</v>
      </c>
      <c r="BW23" s="4">
        <v>10</v>
      </c>
      <c r="BX23" s="2">
        <v>2649</v>
      </c>
      <c r="BY23" s="2">
        <v>7057</v>
      </c>
      <c r="BZ23" s="2">
        <v>2359</v>
      </c>
    </row>
    <row r="24" spans="4:78" ht="15" customHeight="1" x14ac:dyDescent="0.25">
      <c r="D24" t="s">
        <v>21</v>
      </c>
      <c r="E24" s="4">
        <v>11</v>
      </c>
      <c r="F24" s="2">
        <v>7744</v>
      </c>
      <c r="G24" s="2">
        <v>13763</v>
      </c>
      <c r="H24" s="2">
        <v>4665</v>
      </c>
      <c r="J24" s="4">
        <v>11</v>
      </c>
      <c r="K24" s="51">
        <v>5600</v>
      </c>
      <c r="L24" s="51">
        <v>11998</v>
      </c>
      <c r="M24" s="51">
        <v>4147</v>
      </c>
      <c r="O24" s="4">
        <v>11</v>
      </c>
      <c r="P24" s="2">
        <v>4974</v>
      </c>
      <c r="Q24" s="2">
        <v>11638</v>
      </c>
      <c r="R24" s="2">
        <v>4080</v>
      </c>
      <c r="T24" s="4">
        <v>11</v>
      </c>
      <c r="U24" s="2">
        <v>4473</v>
      </c>
      <c r="V24" s="2">
        <v>11641</v>
      </c>
      <c r="W24" s="2">
        <v>4280</v>
      </c>
      <c r="Y24" s="4">
        <v>11</v>
      </c>
      <c r="Z24" s="2">
        <v>6487</v>
      </c>
      <c r="AA24" s="2">
        <v>18687</v>
      </c>
      <c r="AB24" s="2">
        <v>5664</v>
      </c>
      <c r="AD24" s="4">
        <v>11</v>
      </c>
      <c r="AE24" s="2">
        <v>4188</v>
      </c>
      <c r="AF24" s="2">
        <v>11553</v>
      </c>
      <c r="AG24" s="2">
        <v>4811</v>
      </c>
      <c r="AI24" s="4">
        <v>11</v>
      </c>
      <c r="AJ24" s="2">
        <v>5595</v>
      </c>
      <c r="AK24" s="2">
        <v>15098</v>
      </c>
      <c r="AL24" s="2">
        <v>3715</v>
      </c>
      <c r="AN24" s="4">
        <v>11</v>
      </c>
      <c r="AO24" s="2">
        <v>6514</v>
      </c>
      <c r="AP24" s="2">
        <v>15227</v>
      </c>
      <c r="AQ24" s="2">
        <v>4060</v>
      </c>
      <c r="AS24" s="4">
        <v>11</v>
      </c>
      <c r="AT24" s="2">
        <v>6444</v>
      </c>
      <c r="AU24" s="2">
        <v>12613</v>
      </c>
      <c r="AV24" s="2">
        <v>5014</v>
      </c>
      <c r="AX24" s="4">
        <v>11</v>
      </c>
      <c r="AY24" s="2">
        <v>4801</v>
      </c>
      <c r="AZ24" s="2">
        <v>15687</v>
      </c>
      <c r="BA24" s="2">
        <v>3490</v>
      </c>
      <c r="BC24" s="4">
        <v>11</v>
      </c>
      <c r="BH24" s="4">
        <v>11</v>
      </c>
      <c r="BI24" s="2">
        <v>14127</v>
      </c>
      <c r="BJ24" s="2">
        <v>18189</v>
      </c>
      <c r="BK24" s="2">
        <v>4985</v>
      </c>
      <c r="BM24" s="4">
        <v>11</v>
      </c>
      <c r="BR24" s="4">
        <v>11</v>
      </c>
      <c r="BW24" s="4">
        <v>11</v>
      </c>
      <c r="BX24" s="2">
        <v>4360</v>
      </c>
      <c r="BY24" s="2">
        <v>10152</v>
      </c>
      <c r="BZ24" s="2">
        <v>3622</v>
      </c>
    </row>
    <row r="25" spans="4:78" ht="15" customHeight="1" x14ac:dyDescent="0.25">
      <c r="D25" t="s">
        <v>22</v>
      </c>
      <c r="E25" s="4">
        <v>11</v>
      </c>
      <c r="F25" s="2">
        <v>4014</v>
      </c>
      <c r="G25" s="2">
        <v>8817</v>
      </c>
      <c r="H25" s="2">
        <v>2745</v>
      </c>
      <c r="J25" s="4">
        <v>11</v>
      </c>
      <c r="K25" s="52"/>
      <c r="L25" s="52"/>
      <c r="M25" s="52"/>
      <c r="O25" s="4">
        <v>11</v>
      </c>
      <c r="P25" s="2">
        <v>2844</v>
      </c>
      <c r="Q25" s="2">
        <v>7815</v>
      </c>
      <c r="R25" s="2">
        <v>2459</v>
      </c>
      <c r="T25" s="4">
        <v>11</v>
      </c>
      <c r="U25" s="2">
        <v>1820</v>
      </c>
      <c r="V25" s="2">
        <v>5605</v>
      </c>
      <c r="W25" s="2">
        <v>1866</v>
      </c>
      <c r="Y25" s="4">
        <v>11</v>
      </c>
      <c r="Z25" s="2">
        <v>3880</v>
      </c>
      <c r="AA25" s="2">
        <v>13201</v>
      </c>
      <c r="AB25" s="2">
        <v>3799</v>
      </c>
      <c r="AD25" s="4">
        <v>11</v>
      </c>
      <c r="AE25" s="2">
        <v>1447</v>
      </c>
      <c r="AF25" s="2">
        <v>4567</v>
      </c>
      <c r="AG25" s="2">
        <v>1438</v>
      </c>
      <c r="AI25" s="4">
        <v>11</v>
      </c>
      <c r="AJ25" s="2">
        <v>3631</v>
      </c>
      <c r="AK25" s="2">
        <v>11517</v>
      </c>
      <c r="AL25" s="2">
        <v>3364</v>
      </c>
      <c r="AN25" s="4">
        <v>11</v>
      </c>
      <c r="AO25" s="2">
        <v>4683</v>
      </c>
      <c r="AP25" s="2">
        <v>11331</v>
      </c>
      <c r="AQ25" s="2">
        <v>3833</v>
      </c>
      <c r="AS25" s="4">
        <v>11</v>
      </c>
      <c r="AT25" s="2">
        <v>1950</v>
      </c>
      <c r="AU25" s="2">
        <v>5847</v>
      </c>
      <c r="AV25" s="2">
        <v>1861</v>
      </c>
      <c r="AX25" s="4">
        <v>11</v>
      </c>
      <c r="AY25" s="2">
        <v>2613</v>
      </c>
      <c r="AZ25" s="2">
        <v>9597</v>
      </c>
      <c r="BA25" s="2">
        <v>3507</v>
      </c>
      <c r="BC25" s="4">
        <v>11</v>
      </c>
      <c r="BH25" s="4">
        <v>11</v>
      </c>
      <c r="BI25" s="2">
        <v>9760</v>
      </c>
      <c r="BJ25" s="2">
        <v>16570</v>
      </c>
      <c r="BK25" s="2">
        <v>5628</v>
      </c>
      <c r="BM25" s="4">
        <v>11</v>
      </c>
      <c r="BR25" s="4">
        <v>11</v>
      </c>
      <c r="BW25" s="4">
        <v>11</v>
      </c>
      <c r="BX25" s="2">
        <v>2417</v>
      </c>
      <c r="BY25" s="2">
        <v>6500</v>
      </c>
      <c r="BZ25" s="2">
        <v>2052</v>
      </c>
    </row>
    <row r="26" spans="4:78" ht="15" customHeight="1" x14ac:dyDescent="0.25">
      <c r="D26" t="s">
        <v>21</v>
      </c>
      <c r="E26" s="4">
        <v>12</v>
      </c>
      <c r="F26" s="2">
        <v>5353</v>
      </c>
      <c r="G26" s="2">
        <v>12687</v>
      </c>
      <c r="H26" s="2">
        <v>4612</v>
      </c>
      <c r="J26" s="4">
        <v>12</v>
      </c>
      <c r="K26" s="51">
        <v>3920</v>
      </c>
      <c r="L26" s="51">
        <v>10054</v>
      </c>
      <c r="M26" s="51">
        <v>2681</v>
      </c>
      <c r="O26" s="4">
        <v>12</v>
      </c>
      <c r="P26" s="2">
        <v>6368</v>
      </c>
      <c r="Q26" s="2">
        <v>14751</v>
      </c>
      <c r="R26" s="2">
        <v>4141</v>
      </c>
      <c r="T26" s="4">
        <v>12</v>
      </c>
      <c r="U26" s="2">
        <v>4102</v>
      </c>
      <c r="V26" s="2">
        <v>10601</v>
      </c>
      <c r="W26" s="2">
        <v>3854</v>
      </c>
      <c r="Y26" s="4">
        <v>12</v>
      </c>
      <c r="Z26" s="2">
        <v>7988</v>
      </c>
      <c r="AA26" s="2">
        <v>19664</v>
      </c>
      <c r="AB26" s="2">
        <v>3525</v>
      </c>
      <c r="AD26" s="4">
        <v>12</v>
      </c>
      <c r="AE26" s="2">
        <v>3049</v>
      </c>
      <c r="AF26" s="2">
        <v>11720</v>
      </c>
      <c r="AG26" s="2">
        <v>3838</v>
      </c>
      <c r="AI26" s="4">
        <v>12</v>
      </c>
      <c r="AJ26" s="2">
        <v>7285</v>
      </c>
      <c r="AK26" s="2">
        <v>14899</v>
      </c>
      <c r="AL26" s="2">
        <v>3492</v>
      </c>
      <c r="AN26" s="4">
        <v>12</v>
      </c>
      <c r="AO26" s="2">
        <v>5223</v>
      </c>
      <c r="AP26" s="2">
        <v>12986</v>
      </c>
      <c r="AQ26" s="2">
        <v>3809</v>
      </c>
      <c r="AS26" s="4">
        <v>12</v>
      </c>
      <c r="AT26" s="2">
        <v>4598</v>
      </c>
      <c r="AU26" s="2">
        <v>11453</v>
      </c>
      <c r="AV26" s="2">
        <v>4745</v>
      </c>
      <c r="AX26" s="4">
        <v>12</v>
      </c>
      <c r="AY26" s="2">
        <v>6316</v>
      </c>
      <c r="AZ26" s="2">
        <v>15204</v>
      </c>
      <c r="BA26" s="2">
        <v>4673</v>
      </c>
      <c r="BC26" s="4">
        <v>12</v>
      </c>
      <c r="BH26" s="4">
        <v>12</v>
      </c>
      <c r="BI26" s="2">
        <v>7317</v>
      </c>
      <c r="BJ26" s="2">
        <v>13049</v>
      </c>
      <c r="BK26" s="2">
        <v>4636</v>
      </c>
      <c r="BM26" s="4">
        <v>12</v>
      </c>
      <c r="BR26" s="4">
        <v>12</v>
      </c>
      <c r="BW26" s="4">
        <v>12</v>
      </c>
      <c r="BX26" s="2">
        <v>5346</v>
      </c>
      <c r="BY26" s="2">
        <v>11437</v>
      </c>
      <c r="BZ26" s="2">
        <v>4241</v>
      </c>
    </row>
    <row r="27" spans="4:78" ht="15" customHeight="1" x14ac:dyDescent="0.25">
      <c r="D27" t="s">
        <v>22</v>
      </c>
      <c r="E27" s="4">
        <v>12</v>
      </c>
      <c r="F27" s="2">
        <v>1486</v>
      </c>
      <c r="G27" s="2">
        <v>5043</v>
      </c>
      <c r="H27" s="2">
        <v>1523</v>
      </c>
      <c r="J27" s="4">
        <v>12</v>
      </c>
      <c r="K27" s="52"/>
      <c r="L27" s="52"/>
      <c r="M27" s="52"/>
      <c r="O27" s="4">
        <v>12</v>
      </c>
      <c r="P27" s="2">
        <v>5770</v>
      </c>
      <c r="Q27" s="2">
        <v>14460</v>
      </c>
      <c r="R27" s="2">
        <v>3007</v>
      </c>
      <c r="T27" s="4">
        <v>12</v>
      </c>
      <c r="U27" s="2">
        <v>1512</v>
      </c>
      <c r="V27" s="2">
        <v>5704</v>
      </c>
      <c r="W27" s="2">
        <v>2080</v>
      </c>
      <c r="Y27" s="4">
        <v>12</v>
      </c>
      <c r="Z27" s="2">
        <v>6621</v>
      </c>
      <c r="AA27" s="2">
        <v>20662</v>
      </c>
      <c r="AB27" s="2">
        <v>4701</v>
      </c>
      <c r="AD27" s="4">
        <v>12</v>
      </c>
      <c r="AE27" s="2">
        <v>1998</v>
      </c>
      <c r="AF27" s="2">
        <v>6850</v>
      </c>
      <c r="AG27" s="2">
        <v>2143</v>
      </c>
      <c r="AI27" s="4">
        <v>12</v>
      </c>
      <c r="AJ27" s="2">
        <v>6872</v>
      </c>
      <c r="AK27" s="2">
        <v>14031</v>
      </c>
      <c r="AL27" s="2">
        <v>3366</v>
      </c>
      <c r="AN27" s="4">
        <v>12</v>
      </c>
      <c r="AO27" s="2">
        <v>2833</v>
      </c>
      <c r="AP27" s="2">
        <v>7523</v>
      </c>
      <c r="AQ27" s="2">
        <v>2796</v>
      </c>
      <c r="AS27" s="4">
        <v>12</v>
      </c>
      <c r="AT27" s="2">
        <v>3111</v>
      </c>
      <c r="AU27" s="2">
        <v>8465</v>
      </c>
      <c r="AV27" s="2">
        <v>2818</v>
      </c>
      <c r="AX27" s="4">
        <v>12</v>
      </c>
      <c r="AY27" s="2">
        <v>3113</v>
      </c>
      <c r="AZ27" s="2">
        <v>9309</v>
      </c>
      <c r="BA27" s="2">
        <v>3737</v>
      </c>
      <c r="BC27" s="4">
        <v>12</v>
      </c>
      <c r="BH27" s="4">
        <v>12</v>
      </c>
      <c r="BI27" s="2">
        <v>3657</v>
      </c>
      <c r="BJ27" s="2">
        <v>8533</v>
      </c>
      <c r="BK27" s="2">
        <v>3157</v>
      </c>
      <c r="BM27" s="4">
        <v>12</v>
      </c>
      <c r="BR27" s="4">
        <v>12</v>
      </c>
      <c r="BW27" s="4">
        <v>12</v>
      </c>
      <c r="BX27" s="2">
        <v>2529</v>
      </c>
      <c r="BY27" s="2">
        <v>6828</v>
      </c>
      <c r="BZ27" s="2">
        <v>2069</v>
      </c>
    </row>
    <row r="28" spans="4:78" ht="15" customHeight="1" x14ac:dyDescent="0.25">
      <c r="D28" t="s">
        <v>21</v>
      </c>
      <c r="E28" s="4">
        <v>13</v>
      </c>
      <c r="F28" s="2">
        <v>6048</v>
      </c>
      <c r="G28" s="2">
        <v>12625</v>
      </c>
      <c r="H28" s="2">
        <v>3643</v>
      </c>
      <c r="J28" s="4">
        <v>13</v>
      </c>
      <c r="K28" s="51">
        <v>3719</v>
      </c>
      <c r="L28" s="51">
        <v>10262</v>
      </c>
      <c r="M28" s="51">
        <v>3169</v>
      </c>
      <c r="O28" s="4">
        <v>13</v>
      </c>
      <c r="P28" s="2">
        <v>6116</v>
      </c>
      <c r="Q28" s="2">
        <v>13962</v>
      </c>
      <c r="R28" s="2">
        <v>3722</v>
      </c>
      <c r="T28" s="4">
        <v>13</v>
      </c>
      <c r="U28" s="2">
        <v>5598</v>
      </c>
      <c r="V28" s="2">
        <v>11523</v>
      </c>
      <c r="W28" s="2">
        <v>4629</v>
      </c>
      <c r="Y28" s="4">
        <v>13</v>
      </c>
      <c r="AD28" s="4">
        <v>13</v>
      </c>
      <c r="AE28" s="2">
        <v>4017</v>
      </c>
      <c r="AF28" s="2">
        <v>11618</v>
      </c>
      <c r="AG28" s="2">
        <v>2997</v>
      </c>
      <c r="AI28" s="4">
        <v>13</v>
      </c>
      <c r="AJ28" s="2">
        <v>4850</v>
      </c>
      <c r="AK28" s="2">
        <v>11749</v>
      </c>
      <c r="AL28" s="2">
        <v>4783</v>
      </c>
      <c r="AN28" s="4">
        <v>13</v>
      </c>
      <c r="AO28" s="2">
        <v>4503</v>
      </c>
      <c r="AP28" s="2">
        <v>12538</v>
      </c>
      <c r="AQ28" s="2">
        <v>4562</v>
      </c>
      <c r="AS28" s="4">
        <v>13</v>
      </c>
      <c r="AT28" s="2">
        <v>4742</v>
      </c>
      <c r="AU28" s="2">
        <v>12367</v>
      </c>
      <c r="AV28" s="2">
        <v>4514</v>
      </c>
      <c r="AX28" s="4">
        <v>13</v>
      </c>
      <c r="AY28" s="2">
        <v>7441</v>
      </c>
      <c r="AZ28" s="2">
        <v>16294</v>
      </c>
      <c r="BA28" s="2">
        <v>3839</v>
      </c>
      <c r="BC28" s="4">
        <v>13</v>
      </c>
      <c r="BH28" s="4">
        <v>13</v>
      </c>
      <c r="BI28" s="2">
        <v>19140</v>
      </c>
      <c r="BJ28" s="2">
        <v>22573</v>
      </c>
      <c r="BK28" s="2">
        <v>7286</v>
      </c>
      <c r="BM28" s="4">
        <v>13</v>
      </c>
      <c r="BR28" s="4">
        <v>13</v>
      </c>
      <c r="BW28" s="4">
        <v>13</v>
      </c>
    </row>
    <row r="29" spans="4:78" ht="15" customHeight="1" x14ac:dyDescent="0.25">
      <c r="D29" t="s">
        <v>22</v>
      </c>
      <c r="E29" s="4">
        <v>13</v>
      </c>
      <c r="F29" s="2">
        <v>3741</v>
      </c>
      <c r="G29" s="2">
        <v>9339</v>
      </c>
      <c r="H29" s="2">
        <v>2557</v>
      </c>
      <c r="J29" s="4">
        <v>13</v>
      </c>
      <c r="K29" s="52"/>
      <c r="L29" s="52"/>
      <c r="M29" s="52"/>
      <c r="O29" s="4">
        <v>13</v>
      </c>
      <c r="P29" s="2">
        <v>3554</v>
      </c>
      <c r="Q29" s="2">
        <v>10884</v>
      </c>
      <c r="R29" s="2">
        <v>3129</v>
      </c>
      <c r="T29" s="4">
        <v>13</v>
      </c>
      <c r="U29" s="2">
        <v>3456</v>
      </c>
      <c r="V29" s="2">
        <v>8115</v>
      </c>
      <c r="W29" s="2">
        <v>2347</v>
      </c>
      <c r="Y29" s="4">
        <v>13</v>
      </c>
      <c r="AD29" s="4">
        <v>13</v>
      </c>
      <c r="AE29" s="2">
        <v>2912</v>
      </c>
      <c r="AF29" s="2">
        <v>9954</v>
      </c>
      <c r="AG29" s="2">
        <v>3314</v>
      </c>
      <c r="AI29" s="4">
        <v>13</v>
      </c>
      <c r="AJ29" s="2">
        <v>2129</v>
      </c>
      <c r="AK29" s="2">
        <v>6772</v>
      </c>
      <c r="AL29" s="2">
        <v>2083</v>
      </c>
      <c r="AN29" s="4">
        <v>13</v>
      </c>
      <c r="AO29" s="2">
        <v>1746</v>
      </c>
      <c r="AP29" s="2">
        <v>5422</v>
      </c>
      <c r="AQ29" s="2">
        <v>1864</v>
      </c>
      <c r="AS29" s="4">
        <v>13</v>
      </c>
      <c r="AT29" s="2">
        <v>1575</v>
      </c>
      <c r="AU29" s="2">
        <v>5719</v>
      </c>
      <c r="AV29" s="2">
        <v>2213</v>
      </c>
      <c r="AX29" s="4">
        <v>13</v>
      </c>
      <c r="AY29" s="2">
        <v>4506</v>
      </c>
      <c r="AZ29" s="2">
        <v>11837</v>
      </c>
      <c r="BA29" s="2">
        <v>3826</v>
      </c>
      <c r="BC29" s="4">
        <v>13</v>
      </c>
      <c r="BH29" s="4">
        <v>13</v>
      </c>
      <c r="BI29" s="2">
        <v>8031</v>
      </c>
      <c r="BJ29" s="2">
        <v>14939</v>
      </c>
      <c r="BK29" s="2">
        <v>5648</v>
      </c>
      <c r="BM29" s="4">
        <v>13</v>
      </c>
      <c r="BR29" s="4">
        <v>13</v>
      </c>
      <c r="BW29" s="4">
        <v>13</v>
      </c>
    </row>
    <row r="30" spans="4:78" ht="15" customHeight="1" x14ac:dyDescent="0.25">
      <c r="D30" t="s">
        <v>21</v>
      </c>
      <c r="E30" s="4">
        <v>14</v>
      </c>
      <c r="F30" s="2">
        <v>4383</v>
      </c>
      <c r="G30" s="2">
        <v>10444</v>
      </c>
      <c r="H30" s="2">
        <v>3364</v>
      </c>
      <c r="J30" s="4">
        <v>14</v>
      </c>
      <c r="K30" s="51">
        <v>5272</v>
      </c>
      <c r="L30" s="51">
        <v>10863</v>
      </c>
      <c r="M30" s="51">
        <v>3968</v>
      </c>
      <c r="O30" s="4">
        <v>14</v>
      </c>
      <c r="P30" s="2">
        <v>6428</v>
      </c>
      <c r="Q30" s="2">
        <v>12797</v>
      </c>
      <c r="R30" s="2">
        <v>3799</v>
      </c>
      <c r="T30" s="4">
        <v>14</v>
      </c>
      <c r="U30" s="2">
        <v>6359</v>
      </c>
      <c r="V30" s="2">
        <v>13689</v>
      </c>
      <c r="W30" s="2">
        <v>4597</v>
      </c>
      <c r="Y30" s="4">
        <v>14</v>
      </c>
      <c r="AD30" s="4">
        <v>14</v>
      </c>
      <c r="AE30" s="2">
        <v>3672</v>
      </c>
      <c r="AF30" s="2">
        <v>12034</v>
      </c>
      <c r="AG30" s="2">
        <v>3713</v>
      </c>
      <c r="AI30" s="4">
        <v>14</v>
      </c>
      <c r="AJ30" s="2">
        <v>4806</v>
      </c>
      <c r="AK30" s="2">
        <v>10532</v>
      </c>
      <c r="AL30" s="2">
        <v>3679</v>
      </c>
      <c r="AN30" s="4">
        <v>14</v>
      </c>
      <c r="AO30" s="2">
        <v>7716</v>
      </c>
      <c r="AP30" s="2">
        <v>17851</v>
      </c>
      <c r="AQ30" s="2">
        <v>4396</v>
      </c>
      <c r="AS30" s="4">
        <v>14</v>
      </c>
      <c r="AT30" s="2">
        <v>6006</v>
      </c>
      <c r="AU30" s="2">
        <v>12979</v>
      </c>
      <c r="AV30" s="2">
        <v>4591</v>
      </c>
      <c r="AX30" s="4">
        <v>14</v>
      </c>
      <c r="BC30" s="4">
        <v>14</v>
      </c>
      <c r="BH30" s="4">
        <v>14</v>
      </c>
      <c r="BI30" s="2">
        <v>8295</v>
      </c>
      <c r="BJ30" s="2">
        <v>13694</v>
      </c>
      <c r="BK30" s="2">
        <v>4781</v>
      </c>
      <c r="BM30" s="4">
        <v>14</v>
      </c>
      <c r="BR30" s="4">
        <v>14</v>
      </c>
      <c r="BW30" s="4">
        <v>14</v>
      </c>
    </row>
    <row r="31" spans="4:78" ht="15" customHeight="1" x14ac:dyDescent="0.25">
      <c r="D31" t="s">
        <v>22</v>
      </c>
      <c r="E31" s="4">
        <v>14</v>
      </c>
      <c r="F31" s="2">
        <v>2629</v>
      </c>
      <c r="G31" s="2">
        <v>7253</v>
      </c>
      <c r="H31" s="2">
        <v>2575</v>
      </c>
      <c r="J31" s="4">
        <v>14</v>
      </c>
      <c r="K31" s="52"/>
      <c r="L31" s="52"/>
      <c r="M31" s="52"/>
      <c r="O31" s="4">
        <v>14</v>
      </c>
      <c r="P31" s="2">
        <v>3733</v>
      </c>
      <c r="Q31" s="2">
        <v>9012</v>
      </c>
      <c r="R31" s="2">
        <v>2543</v>
      </c>
      <c r="T31" s="4">
        <v>14</v>
      </c>
      <c r="U31" s="2">
        <v>3084</v>
      </c>
      <c r="V31" s="2">
        <v>8396</v>
      </c>
      <c r="W31" s="2">
        <v>3092</v>
      </c>
      <c r="Y31" s="4">
        <v>14</v>
      </c>
      <c r="AD31" s="4">
        <v>14</v>
      </c>
      <c r="AE31" s="2">
        <v>1785</v>
      </c>
      <c r="AF31" s="2">
        <v>6542</v>
      </c>
      <c r="AG31" s="2">
        <v>1959</v>
      </c>
      <c r="AI31" s="4">
        <v>14</v>
      </c>
      <c r="AJ31" s="2">
        <v>2242</v>
      </c>
      <c r="AK31" s="2">
        <v>6896</v>
      </c>
      <c r="AL31" s="2">
        <v>2570</v>
      </c>
      <c r="AN31" s="4">
        <v>14</v>
      </c>
      <c r="AO31" s="2">
        <v>6124</v>
      </c>
      <c r="AP31" s="2">
        <v>14333</v>
      </c>
      <c r="AQ31" s="2">
        <v>4891</v>
      </c>
      <c r="AS31" s="4">
        <v>14</v>
      </c>
      <c r="AT31" s="2">
        <v>3520</v>
      </c>
      <c r="AU31" s="2">
        <v>8017</v>
      </c>
      <c r="AV31" s="2">
        <v>3100</v>
      </c>
      <c r="AX31" s="4">
        <v>14</v>
      </c>
      <c r="BC31" s="4">
        <v>14</v>
      </c>
      <c r="BH31" s="4">
        <v>14</v>
      </c>
      <c r="BI31" s="2">
        <v>3982</v>
      </c>
      <c r="BJ31" s="2">
        <v>7960</v>
      </c>
      <c r="BK31" s="2">
        <v>2974</v>
      </c>
      <c r="BM31" s="4">
        <v>14</v>
      </c>
      <c r="BR31" s="4">
        <v>14</v>
      </c>
      <c r="BW31" s="4">
        <v>14</v>
      </c>
    </row>
    <row r="32" spans="4:78" ht="15" customHeight="1" x14ac:dyDescent="0.25">
      <c r="D32" t="s">
        <v>21</v>
      </c>
      <c r="E32" s="4">
        <v>15</v>
      </c>
      <c r="F32" s="2">
        <v>3425</v>
      </c>
      <c r="G32" s="2">
        <v>10721</v>
      </c>
      <c r="H32" s="2">
        <v>3784</v>
      </c>
      <c r="J32" s="4">
        <v>15</v>
      </c>
      <c r="K32" s="51">
        <v>6001</v>
      </c>
      <c r="L32" s="51">
        <v>14612</v>
      </c>
      <c r="M32" s="51">
        <v>3883</v>
      </c>
      <c r="O32" s="4">
        <v>15</v>
      </c>
      <c r="P32" s="2">
        <v>6325</v>
      </c>
      <c r="Q32" s="2">
        <v>15713</v>
      </c>
      <c r="R32" s="2">
        <v>4408</v>
      </c>
      <c r="T32" s="4">
        <v>15</v>
      </c>
      <c r="U32" s="2">
        <v>6212</v>
      </c>
      <c r="V32" s="2">
        <v>11632</v>
      </c>
      <c r="W32" s="2">
        <v>3545</v>
      </c>
      <c r="Y32" s="4">
        <v>15</v>
      </c>
      <c r="AD32" s="4">
        <v>15</v>
      </c>
      <c r="AE32" s="2">
        <v>2576</v>
      </c>
      <c r="AF32" s="2">
        <v>8323</v>
      </c>
      <c r="AG32" s="2">
        <v>3326</v>
      </c>
      <c r="AI32" s="4">
        <v>15</v>
      </c>
      <c r="AJ32" s="2">
        <v>3767</v>
      </c>
      <c r="AK32" s="2">
        <v>13236</v>
      </c>
      <c r="AL32" s="2">
        <v>4144</v>
      </c>
      <c r="AN32" s="4">
        <v>15</v>
      </c>
      <c r="AO32" s="2">
        <v>9182</v>
      </c>
      <c r="AP32" s="2">
        <v>17984</v>
      </c>
      <c r="AQ32" s="2">
        <v>7215</v>
      </c>
      <c r="AS32" s="4">
        <v>15</v>
      </c>
      <c r="AT32" s="2">
        <v>14298</v>
      </c>
      <c r="AU32" s="2">
        <v>21735</v>
      </c>
      <c r="AV32" s="2">
        <v>5932</v>
      </c>
      <c r="AX32" s="4">
        <v>15</v>
      </c>
      <c r="BC32" s="4">
        <v>15</v>
      </c>
      <c r="BH32" s="4">
        <v>15</v>
      </c>
      <c r="BI32" s="2">
        <v>7016</v>
      </c>
      <c r="BJ32" s="2">
        <v>14672</v>
      </c>
      <c r="BK32" s="2">
        <v>4017</v>
      </c>
      <c r="BM32" s="4">
        <v>15</v>
      </c>
      <c r="BR32" s="4">
        <v>15</v>
      </c>
      <c r="BW32" s="4">
        <v>15</v>
      </c>
    </row>
    <row r="33" spans="4:78" ht="15" customHeight="1" x14ac:dyDescent="0.25">
      <c r="D33" t="s">
        <v>22</v>
      </c>
      <c r="E33" s="4">
        <v>15</v>
      </c>
      <c r="F33" s="2">
        <v>1636</v>
      </c>
      <c r="G33" s="2">
        <v>5760</v>
      </c>
      <c r="H33" s="2">
        <v>1791</v>
      </c>
      <c r="J33" s="4">
        <v>15</v>
      </c>
      <c r="K33" s="52"/>
      <c r="L33" s="52"/>
      <c r="M33" s="52"/>
      <c r="O33" s="4">
        <v>15</v>
      </c>
      <c r="P33" s="2">
        <v>4180</v>
      </c>
      <c r="Q33" s="2">
        <v>9648</v>
      </c>
      <c r="R33" s="2">
        <v>2740</v>
      </c>
      <c r="T33" s="4">
        <v>15</v>
      </c>
      <c r="U33" s="2">
        <v>3344</v>
      </c>
      <c r="V33" s="2">
        <v>8471</v>
      </c>
      <c r="W33" s="2">
        <v>2529</v>
      </c>
      <c r="Y33" s="4">
        <v>15</v>
      </c>
      <c r="AD33" s="90">
        <v>15</v>
      </c>
      <c r="AE33" t="s">
        <v>24</v>
      </c>
      <c r="AF33" s="2">
        <v>3827</v>
      </c>
      <c r="AG33" s="2">
        <v>1216</v>
      </c>
      <c r="AI33" s="4">
        <v>15</v>
      </c>
      <c r="AJ33" s="2">
        <v>1617</v>
      </c>
      <c r="AK33" s="2">
        <v>6536</v>
      </c>
      <c r="AL33" s="2">
        <v>2267</v>
      </c>
      <c r="AN33" s="4">
        <v>15</v>
      </c>
      <c r="AO33" s="2">
        <v>3596</v>
      </c>
      <c r="AP33" s="2">
        <v>8273</v>
      </c>
      <c r="AQ33" s="2">
        <v>2742</v>
      </c>
      <c r="AS33" s="4">
        <v>15</v>
      </c>
      <c r="AT33" s="2">
        <v>11170</v>
      </c>
      <c r="AU33" s="2">
        <v>19420</v>
      </c>
      <c r="AV33" s="2">
        <v>6636</v>
      </c>
      <c r="AX33" s="4">
        <v>15</v>
      </c>
      <c r="BC33" s="4">
        <v>15</v>
      </c>
      <c r="BH33" s="4">
        <v>15</v>
      </c>
      <c r="BI33" s="2">
        <v>4309</v>
      </c>
      <c r="BJ33" s="2">
        <v>9890</v>
      </c>
      <c r="BK33" s="2">
        <v>3631</v>
      </c>
      <c r="BM33" s="4">
        <v>15</v>
      </c>
      <c r="BR33" s="4">
        <v>15</v>
      </c>
      <c r="BW33" s="4">
        <v>15</v>
      </c>
    </row>
    <row r="34" spans="4:78" ht="15" customHeight="1" x14ac:dyDescent="0.25">
      <c r="D34" t="s">
        <v>21</v>
      </c>
      <c r="E34" s="4">
        <v>16</v>
      </c>
      <c r="F34" s="2">
        <v>4080</v>
      </c>
      <c r="G34" s="2">
        <v>11685</v>
      </c>
      <c r="H34" s="2">
        <v>4107</v>
      </c>
      <c r="J34" s="4">
        <v>16</v>
      </c>
      <c r="K34" s="51">
        <v>6326</v>
      </c>
      <c r="L34" s="51">
        <v>12231</v>
      </c>
      <c r="M34" s="51">
        <v>4693</v>
      </c>
      <c r="O34" s="4">
        <v>16</v>
      </c>
      <c r="P34" s="2">
        <v>5215</v>
      </c>
      <c r="Q34" s="2">
        <v>12901</v>
      </c>
      <c r="R34" s="2">
        <v>3196</v>
      </c>
      <c r="T34" s="4">
        <v>16</v>
      </c>
      <c r="U34" s="2">
        <v>4562</v>
      </c>
      <c r="V34" s="2">
        <v>9700</v>
      </c>
      <c r="W34" s="2">
        <v>3567</v>
      </c>
      <c r="Y34" s="4">
        <v>16</v>
      </c>
      <c r="AD34" s="4">
        <v>16</v>
      </c>
      <c r="AE34" s="2">
        <v>3553</v>
      </c>
      <c r="AF34" s="2">
        <v>10902</v>
      </c>
      <c r="AG34" s="2">
        <v>2899</v>
      </c>
      <c r="AI34" s="4">
        <v>16</v>
      </c>
      <c r="AJ34" s="2">
        <v>5365</v>
      </c>
      <c r="AK34" s="2">
        <v>11671</v>
      </c>
      <c r="AL34" s="2">
        <v>3936</v>
      </c>
      <c r="AN34" s="4">
        <v>16</v>
      </c>
      <c r="AO34" s="2">
        <v>8482</v>
      </c>
      <c r="AP34" s="2">
        <v>18051</v>
      </c>
      <c r="AQ34" s="2">
        <v>6463</v>
      </c>
      <c r="AS34" s="4">
        <v>16</v>
      </c>
      <c r="AT34" s="2">
        <v>4114</v>
      </c>
      <c r="AU34" s="2">
        <v>10953</v>
      </c>
      <c r="AV34" s="2">
        <v>3354</v>
      </c>
      <c r="AX34" s="4">
        <v>16</v>
      </c>
      <c r="BC34" s="4">
        <v>16</v>
      </c>
      <c r="BH34" s="4">
        <v>16</v>
      </c>
      <c r="BI34" s="2">
        <v>13603</v>
      </c>
      <c r="BJ34" s="2">
        <v>24205</v>
      </c>
      <c r="BK34" s="2">
        <v>5550</v>
      </c>
      <c r="BM34" s="4">
        <v>16</v>
      </c>
      <c r="BR34" s="4">
        <v>16</v>
      </c>
      <c r="BW34" s="4">
        <v>16</v>
      </c>
    </row>
    <row r="35" spans="4:78" ht="15" customHeight="1" x14ac:dyDescent="0.25">
      <c r="D35" t="s">
        <v>22</v>
      </c>
      <c r="E35" s="4">
        <v>16</v>
      </c>
      <c r="F35" s="2">
        <v>1566</v>
      </c>
      <c r="G35" s="2">
        <v>5509</v>
      </c>
      <c r="H35" s="2">
        <v>2055</v>
      </c>
      <c r="J35" s="4">
        <v>16</v>
      </c>
      <c r="K35" s="52"/>
      <c r="L35" s="52"/>
      <c r="M35" s="52"/>
      <c r="O35" s="4">
        <v>16</v>
      </c>
      <c r="P35" s="2">
        <v>2711</v>
      </c>
      <c r="Q35" s="2">
        <v>9388</v>
      </c>
      <c r="R35" s="2">
        <v>2943</v>
      </c>
      <c r="T35" s="4">
        <v>16</v>
      </c>
      <c r="U35" s="2">
        <v>2355</v>
      </c>
      <c r="V35" s="2">
        <v>6742</v>
      </c>
      <c r="W35" s="2">
        <v>1939</v>
      </c>
      <c r="Y35" s="4">
        <v>16</v>
      </c>
      <c r="AD35" s="4">
        <v>16</v>
      </c>
      <c r="AE35" s="2">
        <v>1994</v>
      </c>
      <c r="AF35" s="2">
        <v>6922</v>
      </c>
      <c r="AG35" s="2">
        <v>2479</v>
      </c>
      <c r="AI35" s="4">
        <v>16</v>
      </c>
      <c r="AJ35" s="2">
        <v>2695</v>
      </c>
      <c r="AK35" s="2">
        <v>7062</v>
      </c>
      <c r="AL35" s="2">
        <v>2333</v>
      </c>
      <c r="AN35" s="4">
        <v>16</v>
      </c>
      <c r="AO35" s="2">
        <v>3933</v>
      </c>
      <c r="AP35" s="2">
        <v>8414</v>
      </c>
      <c r="AQ35" s="2">
        <v>2995</v>
      </c>
      <c r="AS35" s="4">
        <v>16</v>
      </c>
      <c r="AT35" s="2">
        <v>2677</v>
      </c>
      <c r="AU35" s="2">
        <v>7902</v>
      </c>
      <c r="AV35" s="2">
        <v>2916</v>
      </c>
      <c r="AX35" s="4">
        <v>16</v>
      </c>
      <c r="BC35" s="4">
        <v>16</v>
      </c>
      <c r="BH35" s="4">
        <v>16</v>
      </c>
      <c r="BI35" s="2">
        <v>7762</v>
      </c>
      <c r="BJ35" s="2">
        <v>15311</v>
      </c>
      <c r="BK35" s="2">
        <v>4978</v>
      </c>
      <c r="BM35" s="4">
        <v>16</v>
      </c>
      <c r="BR35" s="4">
        <v>16</v>
      </c>
      <c r="BW35" s="4">
        <v>16</v>
      </c>
    </row>
    <row r="36" spans="4:78" ht="15" customHeight="1" x14ac:dyDescent="0.25">
      <c r="D36" t="s">
        <v>21</v>
      </c>
      <c r="E36" s="4">
        <v>17</v>
      </c>
      <c r="F36" s="2">
        <v>4096</v>
      </c>
      <c r="G36" s="2">
        <v>10514</v>
      </c>
      <c r="H36" s="2">
        <v>3719</v>
      </c>
      <c r="J36" s="4">
        <v>17</v>
      </c>
      <c r="K36" s="51">
        <v>3018</v>
      </c>
      <c r="L36" s="51">
        <v>8672</v>
      </c>
      <c r="M36" s="51">
        <v>2607</v>
      </c>
      <c r="O36" s="4">
        <v>17</v>
      </c>
      <c r="P36" s="2">
        <v>4756</v>
      </c>
      <c r="Q36" s="2">
        <v>11978</v>
      </c>
      <c r="R36" s="2">
        <v>3860</v>
      </c>
      <c r="T36" s="4">
        <v>17</v>
      </c>
      <c r="U36" s="2">
        <v>6215</v>
      </c>
      <c r="V36" s="2">
        <v>11975</v>
      </c>
      <c r="W36" s="2">
        <v>4827</v>
      </c>
      <c r="Y36" s="4">
        <v>17</v>
      </c>
      <c r="AD36" s="4">
        <v>17</v>
      </c>
      <c r="AE36" s="2">
        <v>3002</v>
      </c>
      <c r="AF36" s="2">
        <v>10513</v>
      </c>
      <c r="AG36" s="2">
        <v>3763</v>
      </c>
      <c r="AI36" s="4">
        <v>17</v>
      </c>
      <c r="AJ36" s="2">
        <v>3529</v>
      </c>
      <c r="AK36" s="2">
        <v>10770</v>
      </c>
      <c r="AL36" s="2">
        <v>4010</v>
      </c>
      <c r="AN36" s="4">
        <v>17</v>
      </c>
      <c r="AO36" s="2">
        <v>3831</v>
      </c>
      <c r="AP36" s="2">
        <v>10767</v>
      </c>
      <c r="AQ36" s="2">
        <v>4114</v>
      </c>
      <c r="AS36" s="4">
        <v>17</v>
      </c>
      <c r="AT36" s="2">
        <v>4344</v>
      </c>
      <c r="AU36" s="2">
        <v>12132</v>
      </c>
      <c r="AV36" s="2">
        <v>4341</v>
      </c>
      <c r="AX36" s="4">
        <v>17</v>
      </c>
      <c r="BC36" s="4">
        <v>17</v>
      </c>
      <c r="BH36" s="4">
        <v>17</v>
      </c>
      <c r="BI36" s="2">
        <v>11778</v>
      </c>
      <c r="BJ36" s="2">
        <v>18667</v>
      </c>
      <c r="BK36" s="2">
        <v>5147</v>
      </c>
      <c r="BM36" s="4">
        <v>17</v>
      </c>
      <c r="BR36" s="4">
        <v>17</v>
      </c>
      <c r="BW36" s="4">
        <v>17</v>
      </c>
    </row>
    <row r="37" spans="4:78" ht="15" customHeight="1" x14ac:dyDescent="0.25">
      <c r="D37" t="s">
        <v>22</v>
      </c>
      <c r="E37" s="4">
        <v>17</v>
      </c>
      <c r="F37" s="2">
        <v>1727</v>
      </c>
      <c r="G37" s="2">
        <v>6059</v>
      </c>
      <c r="H37" s="2">
        <v>1752</v>
      </c>
      <c r="J37" s="4">
        <v>17</v>
      </c>
      <c r="K37" s="52"/>
      <c r="L37" s="52"/>
      <c r="M37" s="52"/>
      <c r="O37" s="4">
        <v>17</v>
      </c>
      <c r="P37" s="2">
        <v>2877</v>
      </c>
      <c r="Q37" s="2">
        <v>8030</v>
      </c>
      <c r="R37" s="2">
        <v>2744</v>
      </c>
      <c r="T37" s="4">
        <v>17</v>
      </c>
      <c r="U37" s="2">
        <v>2633</v>
      </c>
      <c r="V37" s="2">
        <v>6599</v>
      </c>
      <c r="W37" s="2">
        <v>1925</v>
      </c>
      <c r="Y37" s="4">
        <v>17</v>
      </c>
      <c r="AD37" s="4">
        <v>17</v>
      </c>
      <c r="AE37" s="2">
        <v>1530</v>
      </c>
      <c r="AF37" s="2">
        <v>5993</v>
      </c>
      <c r="AG37" s="2">
        <v>1713</v>
      </c>
      <c r="AI37" s="4">
        <v>17</v>
      </c>
      <c r="AJ37" s="2">
        <v>1499</v>
      </c>
      <c r="AK37" s="2">
        <v>5254</v>
      </c>
      <c r="AL37" s="2">
        <v>1746</v>
      </c>
      <c r="AN37" s="4">
        <v>17</v>
      </c>
      <c r="AO37" s="2">
        <v>2778</v>
      </c>
      <c r="AP37" s="2">
        <v>7530</v>
      </c>
      <c r="AQ37" s="2">
        <v>2162</v>
      </c>
      <c r="AS37" s="4">
        <v>17</v>
      </c>
      <c r="AT37" s="2">
        <v>2088</v>
      </c>
      <c r="AU37" s="2">
        <v>5680</v>
      </c>
      <c r="AV37" s="2">
        <v>1564</v>
      </c>
      <c r="AX37" s="4">
        <v>17</v>
      </c>
      <c r="BC37" s="4">
        <v>17</v>
      </c>
      <c r="BH37" s="4">
        <v>17</v>
      </c>
      <c r="BI37" s="2">
        <v>5807</v>
      </c>
      <c r="BJ37" s="2">
        <v>11602</v>
      </c>
      <c r="BK37" s="2">
        <v>4540</v>
      </c>
      <c r="BM37" s="4">
        <v>17</v>
      </c>
      <c r="BR37" s="4">
        <v>17</v>
      </c>
      <c r="BW37" s="4">
        <v>17</v>
      </c>
    </row>
    <row r="38" spans="4:78" ht="15" customHeight="1" x14ac:dyDescent="0.25">
      <c r="D38" t="s">
        <v>21</v>
      </c>
      <c r="E38" s="4">
        <v>18</v>
      </c>
      <c r="F38" s="2">
        <v>3586</v>
      </c>
      <c r="G38" s="2">
        <v>9683</v>
      </c>
      <c r="H38" s="2">
        <v>3568</v>
      </c>
      <c r="J38" s="4">
        <v>18</v>
      </c>
      <c r="K38" s="51">
        <v>3815</v>
      </c>
      <c r="L38" s="51">
        <v>10277</v>
      </c>
      <c r="M38" s="51">
        <v>3213</v>
      </c>
      <c r="O38" s="4">
        <v>18</v>
      </c>
      <c r="P38" s="2">
        <v>5717</v>
      </c>
      <c r="Q38" s="2">
        <v>14452</v>
      </c>
      <c r="R38" s="2">
        <v>4589</v>
      </c>
      <c r="T38" s="4">
        <v>18</v>
      </c>
      <c r="U38" s="2">
        <v>6427</v>
      </c>
      <c r="V38" s="2">
        <v>12167</v>
      </c>
      <c r="W38" s="2">
        <v>4447</v>
      </c>
      <c r="Y38" s="4">
        <v>18</v>
      </c>
      <c r="AD38" s="4">
        <v>18</v>
      </c>
      <c r="AE38" s="2">
        <v>2657</v>
      </c>
      <c r="AF38" s="2">
        <v>10076</v>
      </c>
      <c r="AG38" s="2">
        <v>2407</v>
      </c>
      <c r="AI38" s="4">
        <v>18</v>
      </c>
      <c r="AJ38" s="2">
        <v>5197</v>
      </c>
      <c r="AK38" s="2">
        <v>12381</v>
      </c>
      <c r="AL38" s="2">
        <v>4488</v>
      </c>
      <c r="AN38" s="4">
        <v>18</v>
      </c>
      <c r="AO38" s="2">
        <v>6266</v>
      </c>
      <c r="AP38" s="2">
        <v>14539</v>
      </c>
      <c r="AQ38" s="2">
        <v>4177</v>
      </c>
      <c r="AS38" s="4">
        <v>18</v>
      </c>
      <c r="AT38" s="2">
        <v>5721</v>
      </c>
      <c r="AU38" s="2">
        <v>11332</v>
      </c>
      <c r="AV38" s="2">
        <v>4037</v>
      </c>
      <c r="AX38" s="4">
        <v>18</v>
      </c>
      <c r="BC38" s="4">
        <v>18</v>
      </c>
      <c r="BH38" s="4">
        <v>18</v>
      </c>
      <c r="BI38" s="2">
        <v>5911</v>
      </c>
      <c r="BJ38" s="2">
        <v>11692</v>
      </c>
      <c r="BK38" s="2">
        <v>4728</v>
      </c>
      <c r="BM38" s="4">
        <v>18</v>
      </c>
      <c r="BR38" s="4">
        <v>18</v>
      </c>
      <c r="BW38" s="4">
        <v>18</v>
      </c>
    </row>
    <row r="39" spans="4:78" ht="15" customHeight="1" x14ac:dyDescent="0.25">
      <c r="D39" t="s">
        <v>22</v>
      </c>
      <c r="E39" s="4">
        <v>18</v>
      </c>
      <c r="F39" s="2">
        <v>2509</v>
      </c>
      <c r="G39" s="2">
        <v>6974</v>
      </c>
      <c r="H39" s="2">
        <v>2608</v>
      </c>
      <c r="J39" s="4">
        <v>18</v>
      </c>
      <c r="K39" s="52"/>
      <c r="L39" s="52"/>
      <c r="M39" s="52"/>
      <c r="O39" s="4">
        <v>18</v>
      </c>
      <c r="P39" s="2">
        <v>3787</v>
      </c>
      <c r="Q39" s="2">
        <v>10248</v>
      </c>
      <c r="R39" s="2">
        <v>3099</v>
      </c>
      <c r="T39" s="4">
        <v>18</v>
      </c>
      <c r="U39" s="2">
        <v>3433</v>
      </c>
      <c r="V39" s="2">
        <v>7457</v>
      </c>
      <c r="W39" s="2">
        <v>2587</v>
      </c>
      <c r="Y39" s="4">
        <v>18</v>
      </c>
      <c r="AD39" s="4">
        <v>18</v>
      </c>
      <c r="AE39" s="2">
        <v>1825</v>
      </c>
      <c r="AF39" s="2">
        <v>7482</v>
      </c>
      <c r="AG39" s="2">
        <v>2862</v>
      </c>
      <c r="AI39" s="4">
        <v>18</v>
      </c>
      <c r="AJ39" s="2">
        <v>1813</v>
      </c>
      <c r="AK39" s="2">
        <v>7018</v>
      </c>
      <c r="AL39" s="2">
        <v>2154</v>
      </c>
      <c r="AN39" s="4">
        <v>18</v>
      </c>
      <c r="AO39" s="2">
        <v>3841</v>
      </c>
      <c r="AP39" s="2">
        <v>9980</v>
      </c>
      <c r="AQ39" s="2">
        <v>2854</v>
      </c>
      <c r="AS39" s="4">
        <v>18</v>
      </c>
      <c r="AT39" s="2">
        <v>2277</v>
      </c>
      <c r="AU39" s="2">
        <v>6705</v>
      </c>
      <c r="AV39" s="2">
        <v>2104</v>
      </c>
      <c r="AX39" s="4">
        <v>18</v>
      </c>
      <c r="BC39" s="4">
        <v>18</v>
      </c>
      <c r="BH39" s="4">
        <v>18</v>
      </c>
      <c r="BI39" s="2">
        <v>2193</v>
      </c>
      <c r="BJ39" s="2">
        <v>5913</v>
      </c>
      <c r="BK39" s="2">
        <v>1957</v>
      </c>
      <c r="BM39" s="4">
        <v>18</v>
      </c>
      <c r="BR39" s="4">
        <v>18</v>
      </c>
      <c r="BW39" s="4">
        <v>18</v>
      </c>
    </row>
    <row r="40" spans="4:78" ht="15" customHeight="1" x14ac:dyDescent="0.25">
      <c r="D40" t="s">
        <v>21</v>
      </c>
      <c r="E40" s="4">
        <v>19</v>
      </c>
      <c r="F40" s="2">
        <v>2303</v>
      </c>
      <c r="G40" s="2">
        <v>8058</v>
      </c>
      <c r="H40" s="2">
        <v>3297</v>
      </c>
      <c r="J40" s="4">
        <v>19</v>
      </c>
      <c r="K40" s="51">
        <v>3837</v>
      </c>
      <c r="L40" s="51">
        <v>9228</v>
      </c>
      <c r="M40" s="51">
        <v>3079</v>
      </c>
      <c r="O40" s="4">
        <v>19</v>
      </c>
      <c r="P40" s="2">
        <v>5697</v>
      </c>
      <c r="Q40" s="2">
        <v>14189</v>
      </c>
      <c r="R40" s="2">
        <v>4531</v>
      </c>
      <c r="T40" s="4">
        <v>19</v>
      </c>
      <c r="U40" s="2">
        <v>4447</v>
      </c>
      <c r="V40" s="2">
        <v>12029</v>
      </c>
      <c r="W40" s="2">
        <v>3669</v>
      </c>
      <c r="Y40" s="4">
        <v>19</v>
      </c>
      <c r="AD40" s="4">
        <v>19</v>
      </c>
      <c r="AE40" s="2">
        <v>2835</v>
      </c>
      <c r="AF40" s="2">
        <v>10712</v>
      </c>
      <c r="AG40" s="2">
        <v>2818</v>
      </c>
      <c r="AI40" s="4">
        <v>19</v>
      </c>
      <c r="AJ40" s="2">
        <v>5438</v>
      </c>
      <c r="AK40" s="2">
        <v>12532</v>
      </c>
      <c r="AL40" s="2">
        <v>2834</v>
      </c>
      <c r="AN40" s="4">
        <v>19</v>
      </c>
      <c r="AO40" s="2">
        <v>7391</v>
      </c>
      <c r="AP40" s="2">
        <v>16678</v>
      </c>
      <c r="AQ40" s="2">
        <v>3826</v>
      </c>
      <c r="AS40" s="4">
        <v>19</v>
      </c>
      <c r="AT40" s="2">
        <v>4583</v>
      </c>
      <c r="AU40" s="2">
        <v>10355</v>
      </c>
      <c r="AV40" s="2">
        <v>3734</v>
      </c>
      <c r="AX40" s="4">
        <v>19</v>
      </c>
      <c r="BC40" s="4">
        <v>19</v>
      </c>
      <c r="BH40" s="4">
        <v>19</v>
      </c>
      <c r="BI40" s="2">
        <v>7298</v>
      </c>
      <c r="BJ40" s="2">
        <v>12215</v>
      </c>
      <c r="BK40" s="2">
        <v>3615</v>
      </c>
      <c r="BM40" s="4">
        <v>19</v>
      </c>
      <c r="BR40" s="4">
        <v>19</v>
      </c>
      <c r="BW40" s="4">
        <v>19</v>
      </c>
    </row>
    <row r="41" spans="4:78" ht="15" customHeight="1" x14ac:dyDescent="0.25">
      <c r="D41" t="s">
        <v>22</v>
      </c>
      <c r="E41" s="90">
        <v>19</v>
      </c>
      <c r="F41" s="39" t="s">
        <v>25</v>
      </c>
      <c r="G41" s="2">
        <v>3688</v>
      </c>
      <c r="H41" s="2">
        <v>1061</v>
      </c>
      <c r="J41" s="4">
        <v>19</v>
      </c>
      <c r="K41" s="52"/>
      <c r="L41" s="52"/>
      <c r="M41" s="52"/>
      <c r="O41" s="4">
        <v>19</v>
      </c>
      <c r="P41" s="2">
        <v>2986</v>
      </c>
      <c r="Q41" s="2">
        <v>7255</v>
      </c>
      <c r="R41" s="2">
        <v>2622</v>
      </c>
      <c r="T41" s="4">
        <v>19</v>
      </c>
      <c r="U41" s="2">
        <v>2001</v>
      </c>
      <c r="V41" s="2">
        <v>7306</v>
      </c>
      <c r="W41" s="2">
        <v>2209</v>
      </c>
      <c r="Y41" s="4">
        <v>19</v>
      </c>
      <c r="AD41" s="4">
        <v>19</v>
      </c>
      <c r="AE41" s="2">
        <v>2489</v>
      </c>
      <c r="AF41" s="2">
        <v>9250</v>
      </c>
      <c r="AG41" s="2">
        <v>2641</v>
      </c>
      <c r="AI41" s="4">
        <v>19</v>
      </c>
      <c r="AJ41" s="2">
        <v>3681</v>
      </c>
      <c r="AK41" s="2">
        <v>9570</v>
      </c>
      <c r="AL41" s="2">
        <v>3635</v>
      </c>
      <c r="AN41" s="4">
        <v>19</v>
      </c>
      <c r="AO41" s="2">
        <v>5944</v>
      </c>
      <c r="AP41" s="2">
        <v>14302</v>
      </c>
      <c r="AQ41" s="2">
        <v>4625</v>
      </c>
      <c r="AS41" s="4">
        <v>19</v>
      </c>
      <c r="AT41" s="2">
        <v>1788</v>
      </c>
      <c r="AU41" s="2">
        <v>5608</v>
      </c>
      <c r="AV41" s="2">
        <v>1959</v>
      </c>
      <c r="AX41" s="4">
        <v>19</v>
      </c>
      <c r="BC41" s="4">
        <v>19</v>
      </c>
      <c r="BH41" s="4">
        <v>19</v>
      </c>
      <c r="BI41" s="2">
        <v>2378</v>
      </c>
      <c r="BJ41" s="2">
        <v>6167</v>
      </c>
      <c r="BK41" s="2">
        <v>2149</v>
      </c>
      <c r="BM41" s="4">
        <v>19</v>
      </c>
      <c r="BR41" s="4">
        <v>19</v>
      </c>
      <c r="BW41" s="4">
        <v>19</v>
      </c>
    </row>
    <row r="42" spans="4:78" ht="15" customHeight="1" x14ac:dyDescent="0.25">
      <c r="D42" t="s">
        <v>21</v>
      </c>
      <c r="E42" s="4">
        <v>20</v>
      </c>
      <c r="F42" s="2">
        <v>1022</v>
      </c>
      <c r="G42" s="2">
        <v>4363</v>
      </c>
      <c r="H42" s="2">
        <v>1408</v>
      </c>
      <c r="J42" s="4">
        <v>20</v>
      </c>
      <c r="K42" s="51">
        <v>2551</v>
      </c>
      <c r="L42" s="51">
        <v>8864</v>
      </c>
      <c r="M42" s="51">
        <v>3130</v>
      </c>
      <c r="O42" s="4">
        <v>20</v>
      </c>
      <c r="P42" s="2">
        <v>4588</v>
      </c>
      <c r="Q42" s="2">
        <v>11157</v>
      </c>
      <c r="R42" s="2">
        <v>3191</v>
      </c>
      <c r="T42" s="4">
        <v>20</v>
      </c>
      <c r="U42" s="2">
        <v>3497</v>
      </c>
      <c r="V42" s="2">
        <v>8947</v>
      </c>
      <c r="W42" s="2">
        <v>3252</v>
      </c>
      <c r="Y42" s="4">
        <v>20</v>
      </c>
      <c r="AD42" s="4">
        <v>20</v>
      </c>
      <c r="AE42" s="2">
        <v>3668</v>
      </c>
      <c r="AF42" s="2">
        <v>8968</v>
      </c>
      <c r="AG42" s="2">
        <v>2920</v>
      </c>
      <c r="AI42" s="4">
        <v>20</v>
      </c>
      <c r="AJ42" s="2">
        <v>3405</v>
      </c>
      <c r="AK42" s="2">
        <v>9539</v>
      </c>
      <c r="AL42" s="2">
        <v>3991</v>
      </c>
      <c r="AN42" s="4">
        <v>20</v>
      </c>
      <c r="AO42" s="2">
        <v>5896</v>
      </c>
      <c r="AP42" s="2">
        <v>13006</v>
      </c>
      <c r="AQ42" s="2">
        <v>4453</v>
      </c>
      <c r="AS42" s="4">
        <v>20</v>
      </c>
      <c r="AT42" s="2">
        <v>4709</v>
      </c>
      <c r="AU42" s="2">
        <v>10474</v>
      </c>
      <c r="AV42" s="2">
        <v>3855</v>
      </c>
      <c r="AX42" s="4">
        <v>20</v>
      </c>
      <c r="BC42" s="4">
        <v>20</v>
      </c>
      <c r="BH42" s="4">
        <v>20</v>
      </c>
      <c r="BI42" s="2">
        <v>5784</v>
      </c>
      <c r="BJ42" s="2">
        <v>10150</v>
      </c>
      <c r="BK42" s="2">
        <v>3748</v>
      </c>
      <c r="BM42" s="4">
        <v>20</v>
      </c>
      <c r="BR42" s="4">
        <v>20</v>
      </c>
      <c r="BW42" s="4">
        <v>20</v>
      </c>
    </row>
    <row r="43" spans="4:78" ht="15" customHeight="1" x14ac:dyDescent="0.25">
      <c r="D43" t="s">
        <v>22</v>
      </c>
      <c r="E43" s="4">
        <v>20</v>
      </c>
      <c r="F43" s="2">
        <v>1765</v>
      </c>
      <c r="G43" s="2">
        <v>6142</v>
      </c>
      <c r="H43" s="2">
        <v>2387</v>
      </c>
      <c r="J43" s="4">
        <v>20</v>
      </c>
      <c r="O43" s="4">
        <v>20</v>
      </c>
      <c r="P43" s="2">
        <v>4707</v>
      </c>
      <c r="Q43" s="2">
        <v>11112</v>
      </c>
      <c r="R43" s="2">
        <v>3351</v>
      </c>
      <c r="T43" s="4">
        <v>20</v>
      </c>
      <c r="U43" s="2">
        <v>1362</v>
      </c>
      <c r="V43" s="2">
        <v>5280</v>
      </c>
      <c r="W43" s="2">
        <v>1595</v>
      </c>
      <c r="Y43" s="4">
        <v>20</v>
      </c>
      <c r="AD43" s="4">
        <v>20</v>
      </c>
      <c r="AE43" s="2">
        <v>1419</v>
      </c>
      <c r="AF43" s="2">
        <v>5721</v>
      </c>
      <c r="AI43" s="4">
        <v>20</v>
      </c>
      <c r="AJ43" s="2">
        <v>1575</v>
      </c>
      <c r="AK43" s="2">
        <v>4989</v>
      </c>
      <c r="AL43" s="2">
        <v>1737</v>
      </c>
      <c r="AN43" s="4">
        <v>20</v>
      </c>
      <c r="AO43" s="2">
        <v>4073</v>
      </c>
      <c r="AP43" s="2">
        <v>11148</v>
      </c>
      <c r="AQ43" s="2">
        <v>3131</v>
      </c>
      <c r="AS43" s="4">
        <v>20</v>
      </c>
      <c r="AT43" s="2">
        <v>2573</v>
      </c>
      <c r="AU43" s="2">
        <v>7449</v>
      </c>
      <c r="AV43" s="2">
        <v>2160</v>
      </c>
      <c r="AX43" s="4">
        <v>20</v>
      </c>
      <c r="BC43" s="4">
        <v>20</v>
      </c>
      <c r="BH43" s="4">
        <v>20</v>
      </c>
      <c r="BI43" s="2">
        <v>2419</v>
      </c>
      <c r="BJ43" s="2">
        <v>8035</v>
      </c>
      <c r="BK43" s="2">
        <v>2467</v>
      </c>
      <c r="BM43" s="4">
        <v>20</v>
      </c>
      <c r="BR43" s="4">
        <v>20</v>
      </c>
      <c r="BW43" s="4">
        <v>20</v>
      </c>
    </row>
    <row r="44" spans="4:78" x14ac:dyDescent="0.25">
      <c r="F44" s="2">
        <f>AVERAGE(F4:F42)</f>
        <v>4655.605263157895</v>
      </c>
      <c r="G44" s="2">
        <f t="shared" ref="G44:BR44" si="0">AVERAGE(G4:G42)</f>
        <v>10745.74358974359</v>
      </c>
      <c r="H44" s="2">
        <f t="shared" si="0"/>
        <v>3451.4102564102564</v>
      </c>
      <c r="I44" s="2" t="e">
        <f t="shared" si="0"/>
        <v>#DIV/0!</v>
      </c>
      <c r="J44" s="2">
        <f t="shared" si="0"/>
        <v>10.256410256410257</v>
      </c>
      <c r="K44" s="2">
        <f t="shared" si="0"/>
        <v>4984.6000000000004</v>
      </c>
      <c r="L44" s="2">
        <f t="shared" si="0"/>
        <v>11397.3</v>
      </c>
      <c r="M44" s="2">
        <f t="shared" si="0"/>
        <v>3679.05</v>
      </c>
      <c r="N44" s="2" t="e">
        <f t="shared" si="0"/>
        <v>#DIV/0!</v>
      </c>
      <c r="O44" s="2">
        <f t="shared" si="0"/>
        <v>10.256410256410257</v>
      </c>
      <c r="P44" s="2">
        <f t="shared" si="0"/>
        <v>5249.7948717948721</v>
      </c>
      <c r="Q44" s="2">
        <f t="shared" si="0"/>
        <v>12281.384615384615</v>
      </c>
      <c r="R44" s="2">
        <f t="shared" si="0"/>
        <v>3633.4358974358975</v>
      </c>
      <c r="S44" s="2" t="e">
        <f t="shared" si="0"/>
        <v>#DIV/0!</v>
      </c>
      <c r="T44" s="2">
        <f t="shared" si="0"/>
        <v>10.256410256410257</v>
      </c>
      <c r="U44" s="2">
        <f t="shared" si="0"/>
        <v>4652.6410256410254</v>
      </c>
      <c r="V44" s="2">
        <f t="shared" si="0"/>
        <v>10529.153846153846</v>
      </c>
      <c r="W44" s="2">
        <f t="shared" si="0"/>
        <v>3468.5641025641025</v>
      </c>
      <c r="X44" s="2" t="e">
        <f t="shared" si="0"/>
        <v>#DIV/0!</v>
      </c>
      <c r="Y44" s="2">
        <f t="shared" si="0"/>
        <v>10.256410256410257</v>
      </c>
      <c r="Z44" s="2">
        <f t="shared" si="0"/>
        <v>6098.041666666667</v>
      </c>
      <c r="AA44" s="2">
        <f t="shared" si="0"/>
        <v>15855.125</v>
      </c>
      <c r="AB44" s="2">
        <f t="shared" si="0"/>
        <v>4058.0416666666665</v>
      </c>
      <c r="AC44" s="2" t="e">
        <f t="shared" si="0"/>
        <v>#DIV/0!</v>
      </c>
      <c r="AD44" s="2">
        <f t="shared" si="0"/>
        <v>10.256410256410257</v>
      </c>
      <c r="AE44" s="2">
        <f t="shared" si="0"/>
        <v>3621.0526315789475</v>
      </c>
      <c r="AF44" s="2">
        <f t="shared" si="0"/>
        <v>10673.076923076924</v>
      </c>
      <c r="AG44" s="2">
        <f t="shared" si="0"/>
        <v>3102.7948717948716</v>
      </c>
      <c r="AH44" s="2" t="e">
        <f t="shared" si="0"/>
        <v>#DIV/0!</v>
      </c>
      <c r="AI44" s="2">
        <f t="shared" si="0"/>
        <v>10.256410256410257</v>
      </c>
      <c r="AJ44" s="2">
        <f t="shared" si="0"/>
        <v>4422.1025641025644</v>
      </c>
      <c r="AK44" s="2">
        <f t="shared" si="0"/>
        <v>10919.666666666666</v>
      </c>
      <c r="AL44" s="2">
        <f t="shared" si="0"/>
        <v>3407.3333333333335</v>
      </c>
      <c r="AM44" s="2" t="e">
        <f t="shared" si="0"/>
        <v>#DIV/0!</v>
      </c>
      <c r="AN44" s="2">
        <f t="shared" si="0"/>
        <v>10.256410256410257</v>
      </c>
      <c r="AO44" s="2">
        <f t="shared" si="0"/>
        <v>6088.3589743589746</v>
      </c>
      <c r="AP44" s="2">
        <f t="shared" si="0"/>
        <v>14206.23076923077</v>
      </c>
      <c r="AQ44" s="2">
        <f t="shared" si="0"/>
        <v>4170.5384615384619</v>
      </c>
      <c r="AR44" s="2" t="e">
        <f t="shared" si="0"/>
        <v>#DIV/0!</v>
      </c>
      <c r="AS44" s="2">
        <f t="shared" si="0"/>
        <v>10.256410256410257</v>
      </c>
      <c r="AT44" s="2">
        <f t="shared" si="0"/>
        <v>5423.8461538461543</v>
      </c>
      <c r="AU44" s="2">
        <f t="shared" si="0"/>
        <v>11754.846153846154</v>
      </c>
      <c r="AV44" s="2">
        <f t="shared" si="0"/>
        <v>3899.1282051282051</v>
      </c>
      <c r="AW44" s="2" t="e">
        <f t="shared" si="0"/>
        <v>#DIV/0!</v>
      </c>
      <c r="AX44" s="2">
        <f t="shared" si="0"/>
        <v>10.256410256410257</v>
      </c>
      <c r="AY44" s="2">
        <f t="shared" si="0"/>
        <v>5323.3076923076924</v>
      </c>
      <c r="AZ44" s="2">
        <f t="shared" si="0"/>
        <v>14133.5</v>
      </c>
      <c r="BA44" s="2">
        <f t="shared" si="0"/>
        <v>4084.1153846153848</v>
      </c>
      <c r="BB44" s="2" t="e">
        <f t="shared" si="0"/>
        <v>#DIV/0!</v>
      </c>
      <c r="BC44" s="2">
        <f t="shared" si="0"/>
        <v>10.256410256410257</v>
      </c>
      <c r="BD44" s="2">
        <f t="shared" si="0"/>
        <v>4101.2142857142853</v>
      </c>
      <c r="BE44" s="2">
        <f t="shared" si="0"/>
        <v>9557.2142857142862</v>
      </c>
      <c r="BF44" s="2">
        <f t="shared" si="0"/>
        <v>2878</v>
      </c>
      <c r="BG44" s="2" t="e">
        <f t="shared" si="0"/>
        <v>#DIV/0!</v>
      </c>
      <c r="BH44" s="2">
        <f t="shared" si="0"/>
        <v>10.256410256410257</v>
      </c>
      <c r="BI44" s="2">
        <f t="shared" si="0"/>
        <v>8147.5128205128203</v>
      </c>
      <c r="BJ44" s="2">
        <f t="shared" si="0"/>
        <v>13987.23076923077</v>
      </c>
      <c r="BK44" s="2">
        <f t="shared" si="0"/>
        <v>4491.8461538461543</v>
      </c>
      <c r="BL44" s="2" t="e">
        <f t="shared" si="0"/>
        <v>#DIV/0!</v>
      </c>
      <c r="BM44" s="2">
        <f t="shared" si="0"/>
        <v>10.256410256410257</v>
      </c>
      <c r="BN44" s="2">
        <f t="shared" si="0"/>
        <v>6270.1875</v>
      </c>
      <c r="BO44" s="2">
        <f t="shared" si="0"/>
        <v>11677.5</v>
      </c>
      <c r="BP44" s="2">
        <f t="shared" si="0"/>
        <v>3633.8125</v>
      </c>
      <c r="BQ44" s="2" t="e">
        <f t="shared" si="0"/>
        <v>#DIV/0!</v>
      </c>
      <c r="BR44" s="2">
        <f t="shared" si="0"/>
        <v>10.256410256410257</v>
      </c>
      <c r="BS44" s="2">
        <f t="shared" ref="BS44:BZ44" si="1">AVERAGE(BS4:BS42)</f>
        <v>4449.1428571428569</v>
      </c>
      <c r="BT44" s="2">
        <f t="shared" si="1"/>
        <v>9816.4285714285706</v>
      </c>
      <c r="BU44" s="2">
        <f t="shared" si="1"/>
        <v>3016.2142857142858</v>
      </c>
      <c r="BV44" s="2" t="e">
        <f t="shared" si="1"/>
        <v>#DIV/0!</v>
      </c>
      <c r="BW44" s="2">
        <f t="shared" si="1"/>
        <v>10.256410256410257</v>
      </c>
      <c r="BX44" s="2">
        <f t="shared" si="1"/>
        <v>4654.583333333333</v>
      </c>
      <c r="BY44" s="2">
        <f t="shared" si="1"/>
        <v>10804.833333333334</v>
      </c>
      <c r="BZ44" s="2">
        <f t="shared" si="1"/>
        <v>3499.4166666666665</v>
      </c>
    </row>
    <row r="45" spans="4:78" x14ac:dyDescent="0.25">
      <c r="F45" s="2">
        <f>AVERAGE(F5:F43)</f>
        <v>4555.8157894736842</v>
      </c>
      <c r="G45" s="2">
        <f t="shared" ref="G45:BR45" si="2">AVERAGE(G5:G43)</f>
        <v>10538.717948717949</v>
      </c>
      <c r="H45" s="2">
        <f t="shared" si="2"/>
        <v>3426.2564102564102</v>
      </c>
      <c r="I45" s="2" t="e">
        <f t="shared" si="2"/>
        <v>#DIV/0!</v>
      </c>
      <c r="J45" s="2">
        <f t="shared" si="2"/>
        <v>10.743589743589743</v>
      </c>
      <c r="K45" s="2">
        <f t="shared" si="2"/>
        <v>4862.5789473684208</v>
      </c>
      <c r="L45" s="2">
        <f t="shared" si="2"/>
        <v>11227</v>
      </c>
      <c r="M45" s="2">
        <f t="shared" si="2"/>
        <v>3640.6842105263158</v>
      </c>
      <c r="N45" s="2" t="e">
        <f t="shared" si="2"/>
        <v>#DIV/0!</v>
      </c>
      <c r="O45" s="2">
        <f t="shared" si="2"/>
        <v>10.743589743589743</v>
      </c>
      <c r="P45" s="2">
        <f t="shared" si="2"/>
        <v>5212.2820512820517</v>
      </c>
      <c r="Q45" s="2">
        <f t="shared" si="2"/>
        <v>12235.615384615385</v>
      </c>
      <c r="R45" s="2">
        <f t="shared" si="2"/>
        <v>3596.0512820512822</v>
      </c>
      <c r="S45" s="2" t="e">
        <f t="shared" si="2"/>
        <v>#DIV/0!</v>
      </c>
      <c r="T45" s="2">
        <f t="shared" si="2"/>
        <v>10.743589743589743</v>
      </c>
      <c r="U45" s="2">
        <f t="shared" si="2"/>
        <v>4520.5128205128203</v>
      </c>
      <c r="V45" s="2">
        <f t="shared" si="2"/>
        <v>10272.897435897436</v>
      </c>
      <c r="W45" s="2">
        <f t="shared" si="2"/>
        <v>3395.0256410256411</v>
      </c>
      <c r="X45" s="2" t="e">
        <f t="shared" si="2"/>
        <v>#DIV/0!</v>
      </c>
      <c r="Y45" s="2">
        <f t="shared" si="2"/>
        <v>10.743589743589743</v>
      </c>
      <c r="Z45" s="2">
        <f t="shared" si="2"/>
        <v>6000.086956521739</v>
      </c>
      <c r="AA45" s="2">
        <f t="shared" si="2"/>
        <v>15582.04347826087</v>
      </c>
      <c r="AB45" s="2">
        <f t="shared" si="2"/>
        <v>3989.304347826087</v>
      </c>
      <c r="AC45" s="2" t="e">
        <f t="shared" si="2"/>
        <v>#DIV/0!</v>
      </c>
      <c r="AD45" s="2">
        <f t="shared" si="2"/>
        <v>10.743589743589743</v>
      </c>
      <c r="AE45" s="2">
        <f t="shared" si="2"/>
        <v>3471.3421052631579</v>
      </c>
      <c r="AF45" s="2">
        <f t="shared" si="2"/>
        <v>10393.128205128205</v>
      </c>
      <c r="AG45" s="2">
        <f t="shared" si="2"/>
        <v>3074.3947368421054</v>
      </c>
      <c r="AH45" s="2" t="e">
        <f t="shared" si="2"/>
        <v>#DIV/0!</v>
      </c>
      <c r="AI45" s="2">
        <f t="shared" si="2"/>
        <v>10.743589743589743</v>
      </c>
      <c r="AJ45" s="2">
        <f t="shared" si="2"/>
        <v>4294.9487179487178</v>
      </c>
      <c r="AK45" s="2">
        <f t="shared" si="2"/>
        <v>10740.51282051282</v>
      </c>
      <c r="AL45" s="2">
        <f t="shared" si="2"/>
        <v>3335.5384615384614</v>
      </c>
      <c r="AM45" s="2" t="e">
        <f t="shared" si="2"/>
        <v>#DIV/0!</v>
      </c>
      <c r="AN45" s="2">
        <f t="shared" si="2"/>
        <v>10.743589743589743</v>
      </c>
      <c r="AO45" s="2">
        <f t="shared" si="2"/>
        <v>6053.0769230769229</v>
      </c>
      <c r="AP45" s="2">
        <f t="shared" si="2"/>
        <v>14149.23076923077</v>
      </c>
      <c r="AQ45" s="2">
        <f t="shared" si="2"/>
        <v>4162.7435897435898</v>
      </c>
      <c r="AR45" s="2" t="e">
        <f t="shared" si="2"/>
        <v>#DIV/0!</v>
      </c>
      <c r="AS45" s="2">
        <f t="shared" si="2"/>
        <v>10.743589743589743</v>
      </c>
      <c r="AT45" s="2">
        <f t="shared" si="2"/>
        <v>5364.4871794871797</v>
      </c>
      <c r="AU45" s="2">
        <f t="shared" si="2"/>
        <v>11647.282051282051</v>
      </c>
      <c r="AV45" s="2">
        <f t="shared" si="2"/>
        <v>3840.4102564102564</v>
      </c>
      <c r="AW45" s="2" t="e">
        <f t="shared" si="2"/>
        <v>#DIV/0!</v>
      </c>
      <c r="AX45" s="2">
        <f t="shared" si="2"/>
        <v>10.743589743589743</v>
      </c>
      <c r="AY45" s="2">
        <f t="shared" si="2"/>
        <v>5278.96</v>
      </c>
      <c r="AZ45" s="2">
        <f t="shared" si="2"/>
        <v>14087.48</v>
      </c>
      <c r="BA45" s="2">
        <f t="shared" si="2"/>
        <v>4071.88</v>
      </c>
      <c r="BB45" s="2" t="e">
        <f t="shared" si="2"/>
        <v>#DIV/0!</v>
      </c>
      <c r="BC45" s="2">
        <f t="shared" si="2"/>
        <v>10.743589743589743</v>
      </c>
      <c r="BD45" s="2">
        <f t="shared" si="2"/>
        <v>3870.8461538461538</v>
      </c>
      <c r="BE45" s="2">
        <f t="shared" si="2"/>
        <v>9410.6923076923085</v>
      </c>
      <c r="BF45" s="2">
        <f t="shared" si="2"/>
        <v>2794.1538461538462</v>
      </c>
      <c r="BG45" s="2" t="e">
        <f t="shared" si="2"/>
        <v>#DIV/0!</v>
      </c>
      <c r="BH45" s="2">
        <f t="shared" si="2"/>
        <v>10.743589743589743</v>
      </c>
      <c r="BI45" s="2">
        <f t="shared" si="2"/>
        <v>7794.5128205128203</v>
      </c>
      <c r="BJ45" s="2">
        <f t="shared" si="2"/>
        <v>13567.384615384615</v>
      </c>
      <c r="BK45" s="2">
        <f t="shared" si="2"/>
        <v>4365</v>
      </c>
      <c r="BL45" s="2" t="e">
        <f t="shared" si="2"/>
        <v>#DIV/0!</v>
      </c>
      <c r="BM45" s="2">
        <f t="shared" si="2"/>
        <v>10.743589743589743</v>
      </c>
      <c r="BN45" s="2">
        <f t="shared" si="2"/>
        <v>6352</v>
      </c>
      <c r="BO45" s="2">
        <f t="shared" si="2"/>
        <v>11744.133333333333</v>
      </c>
      <c r="BP45" s="2">
        <f t="shared" si="2"/>
        <v>3646.6666666666665</v>
      </c>
      <c r="BQ45" s="2" t="e">
        <f t="shared" si="2"/>
        <v>#DIV/0!</v>
      </c>
      <c r="BR45" s="2">
        <f t="shared" si="2"/>
        <v>10.743589743589743</v>
      </c>
      <c r="BS45" s="2">
        <f t="shared" ref="BS45:BZ45" si="3">AVERAGE(BS5:BS43)</f>
        <v>4285.1538461538457</v>
      </c>
      <c r="BT45" s="2">
        <f t="shared" si="3"/>
        <v>9544</v>
      </c>
      <c r="BU45" s="2">
        <f t="shared" si="3"/>
        <v>2954.5384615384614</v>
      </c>
      <c r="BV45" s="2" t="e">
        <f t="shared" si="3"/>
        <v>#DIV/0!</v>
      </c>
      <c r="BW45" s="2">
        <f t="shared" si="3"/>
        <v>10.743589743589743</v>
      </c>
      <c r="BX45" s="2">
        <f t="shared" si="3"/>
        <v>4420.869565217391</v>
      </c>
      <c r="BY45" s="2">
        <f t="shared" si="3"/>
        <v>10387.565217391304</v>
      </c>
      <c r="BZ45" s="2">
        <f t="shared" si="3"/>
        <v>3399.391304347826</v>
      </c>
    </row>
  </sheetData>
  <autoFilter ref="D3:D45" xr:uid="{93D3789D-F5CE-0040-8947-ED85BD43B92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F8FFB-612D-4149-9E94-B9B256230022}">
  <dimension ref="A1:BZ43"/>
  <sheetViews>
    <sheetView workbookViewId="0">
      <selection activeCell="M12" sqref="M12"/>
    </sheetView>
  </sheetViews>
  <sheetFormatPr defaultColWidth="11" defaultRowHeight="15.75" x14ac:dyDescent="0.25"/>
  <cols>
    <col min="5" max="5" width="13.5" customWidth="1"/>
    <col min="8" max="8" width="15.125" customWidth="1"/>
    <col min="10" max="10" width="14.625" customWidth="1"/>
    <col min="13" max="13" width="14.875" customWidth="1"/>
  </cols>
  <sheetData>
    <row r="1" spans="1:78" x14ac:dyDescent="0.25">
      <c r="A1" s="56" t="s">
        <v>27</v>
      </c>
      <c r="B1" s="56"/>
    </row>
    <row r="2" spans="1:78" ht="21" x14ac:dyDescent="0.35">
      <c r="A2" s="3" t="s">
        <v>26</v>
      </c>
      <c r="B2" s="3"/>
      <c r="D2" s="23"/>
      <c r="E2" s="5" t="s">
        <v>0</v>
      </c>
      <c r="F2" s="6"/>
      <c r="G2" s="6"/>
      <c r="H2" s="7"/>
      <c r="J2" s="8" t="s">
        <v>5</v>
      </c>
      <c r="K2" s="9"/>
      <c r="L2" s="9"/>
      <c r="M2" s="10"/>
      <c r="O2" s="8" t="s">
        <v>6</v>
      </c>
      <c r="P2" s="9"/>
      <c r="Q2" s="9"/>
      <c r="R2" s="10"/>
      <c r="T2" s="11" t="s">
        <v>7</v>
      </c>
      <c r="U2" s="11"/>
      <c r="V2" s="11"/>
      <c r="W2" s="11"/>
      <c r="Y2" s="8" t="s">
        <v>8</v>
      </c>
      <c r="Z2" s="9"/>
      <c r="AA2" s="9"/>
      <c r="AB2" s="10"/>
      <c r="AD2" s="8" t="s">
        <v>9</v>
      </c>
      <c r="AE2" s="9"/>
      <c r="AF2" s="9"/>
      <c r="AG2" s="10"/>
      <c r="AI2" s="8" t="s">
        <v>10</v>
      </c>
      <c r="AJ2" s="9"/>
      <c r="AK2" s="9"/>
      <c r="AL2" s="10"/>
      <c r="AN2" s="8" t="s">
        <v>11</v>
      </c>
      <c r="AO2" s="9"/>
      <c r="AP2" s="9"/>
      <c r="AQ2" s="10"/>
      <c r="AS2" s="40" t="s">
        <v>12</v>
      </c>
      <c r="AT2" s="41"/>
      <c r="AU2" s="41"/>
      <c r="AV2" s="42"/>
      <c r="AX2" s="8" t="s">
        <v>13</v>
      </c>
      <c r="AY2" s="9"/>
      <c r="AZ2" s="9"/>
      <c r="BA2" s="10"/>
      <c r="BC2" s="12" t="s">
        <v>20</v>
      </c>
      <c r="BD2" s="13"/>
      <c r="BE2" s="13"/>
      <c r="BF2" s="14"/>
      <c r="BH2" s="8" t="s">
        <v>14</v>
      </c>
      <c r="BI2" s="9"/>
      <c r="BJ2" s="9"/>
      <c r="BK2" s="10"/>
      <c r="BM2" s="8" t="s">
        <v>15</v>
      </c>
      <c r="BN2" s="9"/>
      <c r="BO2" s="9"/>
      <c r="BP2" s="10"/>
      <c r="BR2" s="11" t="s">
        <v>16</v>
      </c>
      <c r="BS2" s="11"/>
      <c r="BT2" s="11"/>
      <c r="BU2" s="11"/>
      <c r="BW2" s="8" t="s">
        <v>17</v>
      </c>
      <c r="BX2" s="9"/>
      <c r="BY2" s="9"/>
      <c r="BZ2" s="10"/>
    </row>
    <row r="3" spans="1:78" x14ac:dyDescent="0.25">
      <c r="A3" s="55" t="s">
        <v>28</v>
      </c>
      <c r="B3" s="55"/>
      <c r="D3" t="s">
        <v>23</v>
      </c>
      <c r="E3" s="1" t="s">
        <v>1</v>
      </c>
      <c r="F3" s="1" t="s">
        <v>2</v>
      </c>
      <c r="G3" s="1" t="s">
        <v>3</v>
      </c>
      <c r="H3" s="1" t="s">
        <v>4</v>
      </c>
      <c r="J3" s="1" t="s">
        <v>1</v>
      </c>
      <c r="K3" s="1" t="s">
        <v>2</v>
      </c>
      <c r="L3" s="1" t="s">
        <v>3</v>
      </c>
      <c r="M3" s="1" t="s">
        <v>4</v>
      </c>
      <c r="O3" s="1" t="s">
        <v>1</v>
      </c>
      <c r="P3" s="1" t="s">
        <v>2</v>
      </c>
      <c r="Q3" s="1" t="s">
        <v>3</v>
      </c>
      <c r="R3" s="1" t="s">
        <v>4</v>
      </c>
      <c r="T3" s="1" t="s">
        <v>1</v>
      </c>
      <c r="U3" s="1" t="s">
        <v>2</v>
      </c>
      <c r="V3" s="1" t="s">
        <v>3</v>
      </c>
      <c r="W3" s="1" t="s">
        <v>4</v>
      </c>
      <c r="Y3" s="1" t="s">
        <v>1</v>
      </c>
      <c r="Z3" s="1" t="s">
        <v>2</v>
      </c>
      <c r="AA3" s="1" t="s">
        <v>3</v>
      </c>
      <c r="AB3" s="1" t="s">
        <v>4</v>
      </c>
      <c r="AD3" s="1" t="s">
        <v>1</v>
      </c>
      <c r="AE3" s="1" t="s">
        <v>2</v>
      </c>
      <c r="AF3" s="1" t="s">
        <v>3</v>
      </c>
      <c r="AG3" s="1" t="s">
        <v>4</v>
      </c>
      <c r="AI3" s="1" t="s">
        <v>1</v>
      </c>
      <c r="AJ3" s="1" t="s">
        <v>2</v>
      </c>
      <c r="AK3" s="1" t="s">
        <v>3</v>
      </c>
      <c r="AL3" s="1" t="s">
        <v>4</v>
      </c>
      <c r="AN3" s="1" t="s">
        <v>18</v>
      </c>
      <c r="AO3" s="1" t="s">
        <v>2</v>
      </c>
      <c r="AP3" s="1" t="s">
        <v>3</v>
      </c>
      <c r="AQ3" s="1" t="s">
        <v>4</v>
      </c>
      <c r="AS3" s="1" t="s">
        <v>18</v>
      </c>
      <c r="AT3" s="1" t="s">
        <v>2</v>
      </c>
      <c r="AU3" s="1" t="s">
        <v>3</v>
      </c>
      <c r="AV3" s="1" t="s">
        <v>4</v>
      </c>
      <c r="AX3" s="1" t="s">
        <v>1</v>
      </c>
      <c r="AY3" s="1" t="s">
        <v>2</v>
      </c>
      <c r="AZ3" s="1" t="s">
        <v>3</v>
      </c>
      <c r="BA3" s="1" t="s">
        <v>4</v>
      </c>
      <c r="BC3" s="1" t="s">
        <v>1</v>
      </c>
      <c r="BD3" s="1" t="s">
        <v>2</v>
      </c>
      <c r="BE3" s="1" t="s">
        <v>3</v>
      </c>
      <c r="BF3" s="1" t="s">
        <v>4</v>
      </c>
      <c r="BH3" s="1" t="s">
        <v>1</v>
      </c>
      <c r="BI3" s="1" t="s">
        <v>2</v>
      </c>
      <c r="BJ3" s="1" t="s">
        <v>3</v>
      </c>
      <c r="BK3" s="1" t="s">
        <v>4</v>
      </c>
      <c r="BM3" s="1" t="s">
        <v>1</v>
      </c>
      <c r="BN3" s="1" t="s">
        <v>2</v>
      </c>
      <c r="BO3" s="1" t="s">
        <v>3</v>
      </c>
      <c r="BP3" s="1" t="s">
        <v>4</v>
      </c>
      <c r="BR3" s="1" t="s">
        <v>1</v>
      </c>
      <c r="BS3" s="1" t="s">
        <v>2</v>
      </c>
      <c r="BT3" s="1" t="s">
        <v>3</v>
      </c>
      <c r="BU3" s="1" t="s">
        <v>4</v>
      </c>
      <c r="BW3" s="1" t="s">
        <v>1</v>
      </c>
      <c r="BX3" s="1" t="s">
        <v>2</v>
      </c>
      <c r="BY3" s="1" t="s">
        <v>3</v>
      </c>
      <c r="BZ3" s="1" t="s">
        <v>4</v>
      </c>
    </row>
    <row r="4" spans="1:78" x14ac:dyDescent="0.25">
      <c r="D4" t="s">
        <v>21</v>
      </c>
      <c r="E4" s="4">
        <v>1</v>
      </c>
      <c r="F4" s="2">
        <v>6870</v>
      </c>
      <c r="G4" s="2">
        <v>15175</v>
      </c>
      <c r="H4" s="2">
        <v>4480</v>
      </c>
      <c r="J4" s="4">
        <v>1</v>
      </c>
      <c r="K4" s="2">
        <v>18637</v>
      </c>
      <c r="L4" s="2">
        <v>22574</v>
      </c>
      <c r="M4" s="2">
        <v>5679</v>
      </c>
      <c r="O4" s="4">
        <v>1</v>
      </c>
      <c r="P4" s="2">
        <v>17617</v>
      </c>
      <c r="Q4" s="2">
        <v>24113</v>
      </c>
      <c r="R4" s="2">
        <v>7550</v>
      </c>
      <c r="T4" s="4">
        <v>1</v>
      </c>
      <c r="U4" s="2">
        <v>17656</v>
      </c>
      <c r="V4" s="2">
        <v>24434</v>
      </c>
      <c r="W4" s="2">
        <v>5782</v>
      </c>
      <c r="Y4" s="4">
        <v>1</v>
      </c>
      <c r="Z4" s="2">
        <v>17268</v>
      </c>
      <c r="AA4" s="2">
        <v>28459</v>
      </c>
      <c r="AB4" s="2">
        <v>6365</v>
      </c>
      <c r="AD4" s="4">
        <v>1</v>
      </c>
      <c r="AE4" s="2">
        <v>21116</v>
      </c>
      <c r="AF4" s="2">
        <v>26451</v>
      </c>
      <c r="AG4" s="2">
        <v>6860</v>
      </c>
      <c r="AI4" s="4">
        <v>1</v>
      </c>
      <c r="AJ4" s="2">
        <v>20006</v>
      </c>
      <c r="AK4" s="2">
        <v>27118</v>
      </c>
      <c r="AL4" s="2">
        <v>6661</v>
      </c>
      <c r="AN4" s="4">
        <v>1</v>
      </c>
      <c r="AO4" s="2">
        <v>16591</v>
      </c>
      <c r="AP4" s="2">
        <v>21164</v>
      </c>
      <c r="AQ4" s="2">
        <v>4995</v>
      </c>
      <c r="AS4" s="4">
        <v>1</v>
      </c>
      <c r="AT4" s="43">
        <v>7128</v>
      </c>
      <c r="AU4" s="43">
        <v>12229</v>
      </c>
      <c r="AV4" s="43">
        <v>4517</v>
      </c>
      <c r="AX4" s="4">
        <v>1</v>
      </c>
      <c r="AY4" s="2">
        <v>25094</v>
      </c>
      <c r="AZ4" s="2">
        <v>28068</v>
      </c>
      <c r="BA4" s="2">
        <v>6853</v>
      </c>
      <c r="BC4" s="4">
        <v>1</v>
      </c>
      <c r="BD4" s="2">
        <v>14311</v>
      </c>
      <c r="BE4" s="2">
        <v>20067</v>
      </c>
      <c r="BF4" s="2">
        <v>4273</v>
      </c>
      <c r="BH4" s="4">
        <v>1</v>
      </c>
      <c r="BI4" s="2">
        <v>38291</v>
      </c>
      <c r="BJ4" s="2">
        <v>28357</v>
      </c>
      <c r="BK4" s="2">
        <v>9275</v>
      </c>
      <c r="BM4" s="4">
        <v>1</v>
      </c>
      <c r="BN4" s="2">
        <v>9472</v>
      </c>
      <c r="BO4" s="2">
        <v>15868</v>
      </c>
      <c r="BP4" s="2">
        <v>3909</v>
      </c>
      <c r="BR4" s="4">
        <v>1</v>
      </c>
      <c r="BS4" s="2">
        <v>14462</v>
      </c>
      <c r="BT4" s="2">
        <v>18619</v>
      </c>
      <c r="BU4" s="2">
        <v>5347</v>
      </c>
      <c r="BW4" s="4">
        <v>1</v>
      </c>
      <c r="BX4" s="2">
        <v>16649</v>
      </c>
      <c r="BY4" s="2">
        <v>22397</v>
      </c>
      <c r="BZ4" s="2">
        <v>6793</v>
      </c>
    </row>
    <row r="5" spans="1:78" x14ac:dyDescent="0.25">
      <c r="D5" t="s">
        <v>22</v>
      </c>
      <c r="E5" s="4">
        <v>1</v>
      </c>
      <c r="F5" s="2">
        <v>4090</v>
      </c>
      <c r="G5" s="2">
        <v>9424</v>
      </c>
      <c r="H5" s="2">
        <v>2619</v>
      </c>
      <c r="J5" s="4">
        <v>1</v>
      </c>
      <c r="K5" s="2">
        <v>14418</v>
      </c>
      <c r="L5" s="2">
        <v>19145</v>
      </c>
      <c r="M5" s="2">
        <v>5213</v>
      </c>
      <c r="O5" s="4">
        <v>1</v>
      </c>
      <c r="P5" s="2">
        <v>14198</v>
      </c>
      <c r="Q5" s="2">
        <v>20974</v>
      </c>
      <c r="R5" s="2">
        <v>4782</v>
      </c>
      <c r="T5" s="4">
        <v>1</v>
      </c>
      <c r="U5" s="2">
        <v>13100</v>
      </c>
      <c r="V5" s="2">
        <v>17749</v>
      </c>
      <c r="W5" s="2">
        <v>4717</v>
      </c>
      <c r="Y5" s="4">
        <v>1</v>
      </c>
      <c r="Z5" s="2">
        <v>15382</v>
      </c>
      <c r="AA5" s="2">
        <v>24122</v>
      </c>
      <c r="AB5" s="2">
        <v>6349</v>
      </c>
      <c r="AD5" s="4">
        <v>1</v>
      </c>
      <c r="AE5" s="2">
        <v>16168</v>
      </c>
      <c r="AF5" s="2">
        <v>22742</v>
      </c>
      <c r="AG5" s="2">
        <v>5610</v>
      </c>
      <c r="AI5" s="4">
        <v>1</v>
      </c>
      <c r="AJ5" s="2">
        <v>15428</v>
      </c>
      <c r="AK5" s="2">
        <v>18662</v>
      </c>
      <c r="AL5" s="2">
        <v>5060</v>
      </c>
      <c r="AN5" s="4">
        <v>1</v>
      </c>
      <c r="AO5" s="2">
        <v>15284</v>
      </c>
      <c r="AP5" s="2">
        <v>20391</v>
      </c>
      <c r="AQ5" s="2">
        <v>5793</v>
      </c>
      <c r="AS5" s="4">
        <v>1</v>
      </c>
      <c r="AT5" s="43">
        <v>3600</v>
      </c>
      <c r="AU5" s="43">
        <v>7041</v>
      </c>
      <c r="AV5" s="43">
        <v>2310</v>
      </c>
      <c r="AX5" s="4">
        <v>1</v>
      </c>
      <c r="AY5" s="2">
        <v>20774</v>
      </c>
      <c r="AZ5" s="2">
        <v>29690</v>
      </c>
      <c r="BA5" s="2">
        <v>7023</v>
      </c>
      <c r="BC5" s="4">
        <v>1</v>
      </c>
      <c r="BD5" s="2">
        <v>5933</v>
      </c>
      <c r="BE5" s="2">
        <v>12378</v>
      </c>
      <c r="BF5" s="2">
        <v>3486</v>
      </c>
      <c r="BH5" s="4">
        <v>1</v>
      </c>
      <c r="BI5" s="2">
        <v>21571</v>
      </c>
      <c r="BJ5" s="2">
        <v>19586</v>
      </c>
      <c r="BK5" s="2">
        <v>6249</v>
      </c>
      <c r="BM5" s="4">
        <v>1</v>
      </c>
      <c r="BN5" s="2">
        <v>5875</v>
      </c>
      <c r="BO5" s="2">
        <v>12373</v>
      </c>
      <c r="BP5" s="2">
        <v>3475</v>
      </c>
      <c r="BR5" s="4">
        <v>1</v>
      </c>
      <c r="BS5" s="2">
        <v>11435</v>
      </c>
      <c r="BT5" s="2">
        <v>17485</v>
      </c>
      <c r="BU5" s="2">
        <v>4373</v>
      </c>
      <c r="BW5" s="4">
        <v>1</v>
      </c>
      <c r="BX5" s="2">
        <v>6780</v>
      </c>
      <c r="BY5" s="2">
        <v>12608</v>
      </c>
      <c r="BZ5" s="2">
        <v>4086</v>
      </c>
    </row>
    <row r="6" spans="1:78" x14ac:dyDescent="0.25">
      <c r="D6" t="s">
        <v>21</v>
      </c>
      <c r="E6" s="4">
        <v>2</v>
      </c>
      <c r="F6" s="2">
        <v>10391</v>
      </c>
      <c r="G6" s="2">
        <v>21404</v>
      </c>
      <c r="H6" s="2">
        <v>4959</v>
      </c>
      <c r="J6" s="4">
        <v>2</v>
      </c>
      <c r="K6" s="2">
        <v>11122</v>
      </c>
      <c r="L6" s="2">
        <v>20535</v>
      </c>
      <c r="M6" s="2">
        <v>5503</v>
      </c>
      <c r="O6" s="4">
        <v>2</v>
      </c>
      <c r="P6" s="2">
        <v>26761</v>
      </c>
      <c r="Q6" s="2">
        <v>29939</v>
      </c>
      <c r="R6" s="2">
        <v>6883</v>
      </c>
      <c r="T6" s="4">
        <v>2</v>
      </c>
      <c r="U6" s="2">
        <v>19185</v>
      </c>
      <c r="V6" s="2">
        <v>27196</v>
      </c>
      <c r="W6" s="2">
        <v>6024</v>
      </c>
      <c r="Y6" s="4">
        <v>2</v>
      </c>
      <c r="Z6" s="2">
        <v>13463</v>
      </c>
      <c r="AA6" s="2">
        <v>18763</v>
      </c>
      <c r="AB6" s="2">
        <v>4876</v>
      </c>
      <c r="AD6" s="4">
        <v>2</v>
      </c>
      <c r="AE6" s="2">
        <v>16839</v>
      </c>
      <c r="AF6" s="2">
        <v>24180</v>
      </c>
      <c r="AG6" s="2">
        <v>6842</v>
      </c>
      <c r="AI6" s="4">
        <v>2</v>
      </c>
      <c r="AJ6" s="43">
        <v>6704</v>
      </c>
      <c r="AK6" s="43">
        <v>10509</v>
      </c>
      <c r="AL6" s="43">
        <v>3450</v>
      </c>
      <c r="AN6" s="4">
        <v>2</v>
      </c>
      <c r="AO6" s="2">
        <v>32558</v>
      </c>
      <c r="AP6" s="2">
        <v>47179</v>
      </c>
      <c r="AQ6" s="2">
        <v>7778</v>
      </c>
      <c r="AS6" s="4">
        <v>2</v>
      </c>
      <c r="AT6" s="2">
        <v>16620</v>
      </c>
      <c r="AU6" s="2">
        <v>32074</v>
      </c>
      <c r="AV6" s="2">
        <v>6739</v>
      </c>
      <c r="AX6" s="4">
        <v>2</v>
      </c>
      <c r="AY6" s="2">
        <v>23163</v>
      </c>
      <c r="AZ6" s="2">
        <v>28192</v>
      </c>
      <c r="BA6" s="2">
        <v>8983</v>
      </c>
      <c r="BC6" s="4">
        <v>2</v>
      </c>
      <c r="BD6" s="2">
        <v>6556</v>
      </c>
      <c r="BE6" s="2">
        <v>12141</v>
      </c>
      <c r="BF6" s="2">
        <v>3944</v>
      </c>
      <c r="BH6" s="4">
        <v>2</v>
      </c>
      <c r="BI6" s="2">
        <v>23896</v>
      </c>
      <c r="BJ6" s="2">
        <v>20612</v>
      </c>
      <c r="BK6" s="2">
        <v>6096</v>
      </c>
      <c r="BM6" s="4">
        <v>2</v>
      </c>
      <c r="BN6" s="2">
        <v>29209</v>
      </c>
      <c r="BO6" s="2">
        <v>31185</v>
      </c>
      <c r="BP6" s="2">
        <v>8182</v>
      </c>
      <c r="BR6" s="4">
        <v>2</v>
      </c>
      <c r="BS6" s="2">
        <v>22969</v>
      </c>
      <c r="BT6" s="2">
        <v>24223</v>
      </c>
      <c r="BU6" s="2">
        <v>6851</v>
      </c>
      <c r="BW6" s="4">
        <v>2</v>
      </c>
      <c r="BX6" s="2">
        <v>15624</v>
      </c>
      <c r="BY6" s="2">
        <v>23673</v>
      </c>
      <c r="BZ6" s="2">
        <v>6368</v>
      </c>
    </row>
    <row r="7" spans="1:78" x14ac:dyDescent="0.25">
      <c r="D7" t="s">
        <v>22</v>
      </c>
      <c r="E7" s="4">
        <v>2</v>
      </c>
      <c r="F7" s="2">
        <v>8376</v>
      </c>
      <c r="G7" s="2">
        <v>14589</v>
      </c>
      <c r="H7" s="2">
        <v>4369</v>
      </c>
      <c r="J7" s="4">
        <v>2</v>
      </c>
      <c r="K7" s="2">
        <v>9929</v>
      </c>
      <c r="L7" s="2">
        <v>18439</v>
      </c>
      <c r="M7" s="2">
        <v>4187</v>
      </c>
      <c r="O7" s="4">
        <v>2</v>
      </c>
      <c r="P7" s="2">
        <v>24442</v>
      </c>
      <c r="Q7" s="2">
        <v>30550</v>
      </c>
      <c r="R7" s="2">
        <v>5810</v>
      </c>
      <c r="T7" s="4">
        <v>2</v>
      </c>
      <c r="U7" s="2">
        <v>12624</v>
      </c>
      <c r="V7" s="2">
        <v>18842</v>
      </c>
      <c r="W7" s="2">
        <v>4381</v>
      </c>
      <c r="Y7" s="4">
        <v>2</v>
      </c>
      <c r="Z7" s="2">
        <v>14991</v>
      </c>
      <c r="AA7" s="2">
        <v>19970</v>
      </c>
      <c r="AB7" s="2">
        <v>4924</v>
      </c>
      <c r="AD7" s="4">
        <v>2</v>
      </c>
      <c r="AE7" s="2">
        <v>10806</v>
      </c>
      <c r="AF7" s="2">
        <v>18469</v>
      </c>
      <c r="AG7" s="2">
        <v>5293</v>
      </c>
      <c r="AI7" s="4">
        <v>2</v>
      </c>
      <c r="AJ7" s="43">
        <v>6299</v>
      </c>
      <c r="AK7" s="43">
        <v>10383</v>
      </c>
      <c r="AL7" s="43">
        <v>3589</v>
      </c>
      <c r="AN7" s="4">
        <v>2</v>
      </c>
      <c r="AO7" s="2">
        <v>22500</v>
      </c>
      <c r="AP7" s="2">
        <v>27282</v>
      </c>
      <c r="AQ7" s="2">
        <v>7410</v>
      </c>
      <c r="AS7" s="4">
        <v>2</v>
      </c>
      <c r="AT7" s="2">
        <v>10460</v>
      </c>
      <c r="AU7" s="2">
        <v>17353</v>
      </c>
      <c r="AV7" s="2">
        <v>4018</v>
      </c>
      <c r="AX7" s="4">
        <v>2</v>
      </c>
      <c r="AY7" s="2">
        <v>19250</v>
      </c>
      <c r="AZ7" s="2">
        <v>25334</v>
      </c>
      <c r="BA7" s="2">
        <v>5820</v>
      </c>
      <c r="BC7" s="4">
        <v>2</v>
      </c>
      <c r="BD7" s="2">
        <v>3312</v>
      </c>
      <c r="BE7" s="2">
        <v>8445</v>
      </c>
      <c r="BF7" s="2">
        <v>2357</v>
      </c>
      <c r="BH7" s="4">
        <v>2</v>
      </c>
      <c r="BI7" s="2">
        <v>19541</v>
      </c>
      <c r="BJ7" s="2">
        <v>18141</v>
      </c>
      <c r="BK7" s="2">
        <v>5455</v>
      </c>
      <c r="BM7" s="4">
        <v>2</v>
      </c>
      <c r="BN7" s="2">
        <v>13668</v>
      </c>
      <c r="BO7" s="2">
        <v>15294</v>
      </c>
      <c r="BP7" s="2">
        <v>5146</v>
      </c>
      <c r="BR7" s="4">
        <v>2</v>
      </c>
      <c r="BS7" s="2">
        <v>16412</v>
      </c>
      <c r="BT7" s="2">
        <v>17708</v>
      </c>
      <c r="BU7" s="2">
        <v>4983</v>
      </c>
      <c r="BW7" s="4">
        <v>2</v>
      </c>
      <c r="BX7" s="2">
        <v>10786</v>
      </c>
      <c r="BY7" s="2">
        <v>13267</v>
      </c>
      <c r="BZ7" s="2">
        <v>4584</v>
      </c>
    </row>
    <row r="8" spans="1:78" x14ac:dyDescent="0.25">
      <c r="D8" t="s">
        <v>21</v>
      </c>
      <c r="E8" s="4">
        <v>3</v>
      </c>
      <c r="F8" s="2">
        <v>16896</v>
      </c>
      <c r="G8" s="2">
        <v>27210</v>
      </c>
      <c r="H8" s="2">
        <v>6168</v>
      </c>
      <c r="J8" s="4">
        <v>3</v>
      </c>
      <c r="K8" s="2">
        <v>9199</v>
      </c>
      <c r="L8" s="2">
        <v>16796</v>
      </c>
      <c r="M8" s="2">
        <v>5517</v>
      </c>
      <c r="O8" s="4">
        <v>3</v>
      </c>
      <c r="P8" s="2">
        <v>17417</v>
      </c>
      <c r="Q8" s="2">
        <v>25806</v>
      </c>
      <c r="R8" s="2">
        <v>6909</v>
      </c>
      <c r="T8" s="4">
        <v>3</v>
      </c>
      <c r="U8" s="2">
        <v>17263</v>
      </c>
      <c r="V8" s="2">
        <v>27090</v>
      </c>
      <c r="W8" s="2">
        <v>6834</v>
      </c>
      <c r="Y8" s="4">
        <v>3</v>
      </c>
      <c r="Z8" s="2">
        <v>15997</v>
      </c>
      <c r="AA8" s="2">
        <v>25580</v>
      </c>
      <c r="AB8" s="2">
        <v>7262</v>
      </c>
      <c r="AD8" s="4">
        <v>3</v>
      </c>
      <c r="AE8" s="2">
        <v>11982</v>
      </c>
      <c r="AF8" s="2">
        <v>20134</v>
      </c>
      <c r="AG8" s="2">
        <v>4724</v>
      </c>
      <c r="AI8" s="4">
        <v>3</v>
      </c>
      <c r="AJ8" s="43">
        <v>6425</v>
      </c>
      <c r="AK8" s="43">
        <v>11032</v>
      </c>
      <c r="AL8" s="43">
        <v>4098</v>
      </c>
      <c r="AN8" s="4">
        <v>3</v>
      </c>
      <c r="AO8" s="2">
        <v>17928</v>
      </c>
      <c r="AP8" s="2">
        <v>27777</v>
      </c>
      <c r="AQ8" s="2">
        <v>7397</v>
      </c>
      <c r="AS8" s="4">
        <v>3</v>
      </c>
      <c r="AT8" s="2">
        <v>27274</v>
      </c>
      <c r="AU8" s="2">
        <v>41886</v>
      </c>
      <c r="AV8" s="2">
        <v>8714</v>
      </c>
      <c r="AX8" s="4">
        <v>3</v>
      </c>
      <c r="AY8" s="2">
        <v>20483</v>
      </c>
      <c r="AZ8" s="2">
        <v>25206</v>
      </c>
      <c r="BA8" s="2">
        <v>7091</v>
      </c>
      <c r="BC8" s="4">
        <v>3</v>
      </c>
      <c r="BD8" s="2">
        <v>6223</v>
      </c>
      <c r="BE8" s="2">
        <v>11196</v>
      </c>
      <c r="BF8" s="2">
        <v>4133</v>
      </c>
      <c r="BH8" s="4">
        <v>3</v>
      </c>
      <c r="BI8" s="2">
        <v>27103</v>
      </c>
      <c r="BJ8" s="2">
        <v>24042</v>
      </c>
      <c r="BK8" s="2">
        <v>7314</v>
      </c>
      <c r="BM8" s="4">
        <v>3</v>
      </c>
      <c r="BN8" s="2">
        <v>15186</v>
      </c>
      <c r="BO8" s="2">
        <v>20002</v>
      </c>
      <c r="BP8" s="2">
        <v>5906</v>
      </c>
      <c r="BR8" s="4">
        <v>3</v>
      </c>
      <c r="BS8" s="2">
        <v>7499</v>
      </c>
      <c r="BT8" s="2">
        <v>12208</v>
      </c>
      <c r="BU8" s="2">
        <v>4264</v>
      </c>
      <c r="BW8" s="4">
        <v>3</v>
      </c>
      <c r="BX8" s="2">
        <v>17388</v>
      </c>
      <c r="BY8" s="2">
        <v>22095</v>
      </c>
      <c r="BZ8" s="2">
        <v>6711</v>
      </c>
    </row>
    <row r="9" spans="1:78" x14ac:dyDescent="0.25">
      <c r="D9" t="s">
        <v>22</v>
      </c>
      <c r="E9" s="4">
        <v>3</v>
      </c>
      <c r="F9" s="2">
        <v>14585</v>
      </c>
      <c r="G9" s="2">
        <v>19045</v>
      </c>
      <c r="H9" s="2">
        <v>5201</v>
      </c>
      <c r="J9" s="4">
        <v>3</v>
      </c>
      <c r="K9" s="2">
        <v>4794</v>
      </c>
      <c r="L9" s="2">
        <v>9788</v>
      </c>
      <c r="M9" s="2">
        <v>2936</v>
      </c>
      <c r="O9" s="4">
        <v>3</v>
      </c>
      <c r="P9" s="2">
        <v>13554</v>
      </c>
      <c r="Q9" s="2">
        <v>18057</v>
      </c>
      <c r="R9" s="2">
        <v>4581</v>
      </c>
      <c r="T9" s="4">
        <v>3</v>
      </c>
      <c r="U9" s="2">
        <v>10140</v>
      </c>
      <c r="V9" s="2">
        <v>23145</v>
      </c>
      <c r="W9" s="2">
        <v>4971</v>
      </c>
      <c r="Y9" s="4">
        <v>3</v>
      </c>
      <c r="Z9" s="2">
        <v>9624</v>
      </c>
      <c r="AA9" s="2">
        <v>14561</v>
      </c>
      <c r="AB9" s="2">
        <v>4150</v>
      </c>
      <c r="AD9" s="4">
        <v>3</v>
      </c>
      <c r="AE9" s="2">
        <v>14214</v>
      </c>
      <c r="AF9" s="2">
        <v>22446</v>
      </c>
      <c r="AG9" s="2">
        <v>4451</v>
      </c>
      <c r="AI9" s="4">
        <v>3</v>
      </c>
      <c r="AJ9" s="43">
        <v>4688</v>
      </c>
      <c r="AK9" s="43">
        <v>8467</v>
      </c>
      <c r="AL9" s="43">
        <v>2850</v>
      </c>
      <c r="AN9" s="4">
        <v>3</v>
      </c>
      <c r="AO9" s="2">
        <v>13729</v>
      </c>
      <c r="AP9" s="2">
        <v>16775</v>
      </c>
      <c r="AQ9" s="2">
        <v>4467</v>
      </c>
      <c r="AS9" s="4">
        <v>3</v>
      </c>
      <c r="AT9" s="2">
        <v>24875</v>
      </c>
      <c r="AU9" s="2">
        <v>26715</v>
      </c>
      <c r="AV9" s="2">
        <v>6903</v>
      </c>
      <c r="AX9" s="4">
        <v>3</v>
      </c>
      <c r="AY9" s="2">
        <v>18206</v>
      </c>
      <c r="AZ9" s="2">
        <v>23050</v>
      </c>
      <c r="BA9" s="2">
        <v>5411</v>
      </c>
      <c r="BC9" s="4">
        <v>3</v>
      </c>
      <c r="BD9" s="2">
        <v>2435</v>
      </c>
      <c r="BE9" s="2">
        <v>7687</v>
      </c>
      <c r="BF9" s="2">
        <v>1917</v>
      </c>
      <c r="BH9" s="4">
        <v>3</v>
      </c>
      <c r="BI9" s="2">
        <v>20495</v>
      </c>
      <c r="BJ9" s="2">
        <v>20259</v>
      </c>
      <c r="BK9" s="2">
        <v>5400</v>
      </c>
      <c r="BM9" s="4">
        <v>3</v>
      </c>
      <c r="BN9" s="2">
        <v>9031</v>
      </c>
      <c r="BO9" s="2">
        <v>12619</v>
      </c>
      <c r="BP9" s="2">
        <v>3640</v>
      </c>
      <c r="BR9" s="4">
        <v>3</v>
      </c>
      <c r="BS9" s="2">
        <v>6702</v>
      </c>
      <c r="BT9" s="2">
        <v>11018</v>
      </c>
      <c r="BU9" s="2">
        <v>3056</v>
      </c>
      <c r="BW9" s="4">
        <v>3</v>
      </c>
      <c r="BX9" s="2">
        <v>12385</v>
      </c>
      <c r="BY9" s="2">
        <v>18936</v>
      </c>
      <c r="BZ9" s="2">
        <v>5541</v>
      </c>
    </row>
    <row r="10" spans="1:78" x14ac:dyDescent="0.25">
      <c r="D10" t="s">
        <v>21</v>
      </c>
      <c r="E10" s="4">
        <v>4</v>
      </c>
      <c r="F10" s="2">
        <v>18907</v>
      </c>
      <c r="G10" s="2">
        <v>23515</v>
      </c>
      <c r="H10" s="2">
        <v>6919</v>
      </c>
      <c r="J10" s="4">
        <v>4</v>
      </c>
      <c r="K10" s="2">
        <v>13608</v>
      </c>
      <c r="L10" s="2">
        <v>26644</v>
      </c>
      <c r="M10" s="2">
        <v>5908</v>
      </c>
      <c r="O10" s="4">
        <v>4</v>
      </c>
      <c r="P10" s="2">
        <v>14031</v>
      </c>
      <c r="Q10" s="2">
        <v>21418</v>
      </c>
      <c r="R10" s="2">
        <v>6106</v>
      </c>
      <c r="T10" s="4">
        <v>4</v>
      </c>
      <c r="U10" s="2">
        <v>15270</v>
      </c>
      <c r="V10" s="2">
        <v>19527</v>
      </c>
      <c r="W10" s="2">
        <v>6541</v>
      </c>
      <c r="Y10" s="4">
        <v>4</v>
      </c>
      <c r="Z10" s="2">
        <v>8716</v>
      </c>
      <c r="AA10" s="2">
        <v>16167</v>
      </c>
      <c r="AB10" s="2">
        <v>4601</v>
      </c>
      <c r="AD10" s="4">
        <v>4</v>
      </c>
      <c r="AE10" s="2">
        <v>19512</v>
      </c>
      <c r="AF10" s="2">
        <v>25876</v>
      </c>
      <c r="AG10" s="2">
        <v>5865</v>
      </c>
      <c r="AI10" s="4">
        <v>4</v>
      </c>
      <c r="AJ10" s="2">
        <v>8607</v>
      </c>
      <c r="AK10" s="2">
        <v>16610</v>
      </c>
      <c r="AL10" s="2">
        <v>4728</v>
      </c>
      <c r="AN10" s="4">
        <v>4</v>
      </c>
      <c r="AO10" s="2">
        <v>32315</v>
      </c>
      <c r="AP10" s="2">
        <v>38930</v>
      </c>
      <c r="AQ10" s="2">
        <v>8722</v>
      </c>
      <c r="AS10" s="4">
        <v>4</v>
      </c>
      <c r="AT10" s="2">
        <v>15361</v>
      </c>
      <c r="AU10" s="2">
        <v>22171</v>
      </c>
      <c r="AV10" s="2">
        <v>5722</v>
      </c>
      <c r="AX10" s="4">
        <v>4</v>
      </c>
      <c r="AY10" s="2">
        <v>8233</v>
      </c>
      <c r="AZ10" s="2">
        <v>17832</v>
      </c>
      <c r="BA10" s="2">
        <v>4452</v>
      </c>
      <c r="BC10" s="4">
        <v>4</v>
      </c>
      <c r="BD10" s="2">
        <v>10954</v>
      </c>
      <c r="BE10" s="2">
        <v>17739</v>
      </c>
      <c r="BF10" s="2">
        <v>4971</v>
      </c>
      <c r="BH10" s="4">
        <v>4</v>
      </c>
      <c r="BI10" s="2">
        <v>29666</v>
      </c>
      <c r="BJ10" s="2">
        <v>30910</v>
      </c>
      <c r="BK10" s="2">
        <v>9571</v>
      </c>
      <c r="BM10" s="4">
        <v>4</v>
      </c>
      <c r="BN10" s="2">
        <v>25399</v>
      </c>
      <c r="BO10" s="2">
        <v>27074</v>
      </c>
      <c r="BP10" s="2">
        <v>7397</v>
      </c>
      <c r="BR10" s="4">
        <v>4</v>
      </c>
      <c r="BS10" s="2">
        <v>17372</v>
      </c>
      <c r="BT10" s="2">
        <v>21792</v>
      </c>
      <c r="BU10" s="2">
        <v>6066</v>
      </c>
      <c r="BW10" s="4">
        <v>4</v>
      </c>
      <c r="BX10" s="43">
        <v>8191</v>
      </c>
      <c r="BY10" s="43">
        <v>15466</v>
      </c>
      <c r="BZ10" s="43">
        <v>5967</v>
      </c>
    </row>
    <row r="11" spans="1:78" x14ac:dyDescent="0.25">
      <c r="D11" t="s">
        <v>22</v>
      </c>
      <c r="E11" s="4">
        <v>4</v>
      </c>
      <c r="F11" s="2">
        <v>13240</v>
      </c>
      <c r="G11" s="2">
        <v>20144</v>
      </c>
      <c r="H11" s="2">
        <v>5217</v>
      </c>
      <c r="J11" s="4">
        <v>4</v>
      </c>
      <c r="K11" s="2">
        <v>10355</v>
      </c>
      <c r="L11" s="2">
        <v>17179</v>
      </c>
      <c r="M11" s="2">
        <v>3921</v>
      </c>
      <c r="O11" s="4">
        <v>4</v>
      </c>
      <c r="P11" s="2">
        <v>13178</v>
      </c>
      <c r="Q11" s="2">
        <v>15267</v>
      </c>
      <c r="R11" s="2">
        <v>5007</v>
      </c>
      <c r="T11" s="4">
        <v>4</v>
      </c>
      <c r="U11" s="2">
        <v>11459</v>
      </c>
      <c r="V11" s="2">
        <v>17652</v>
      </c>
      <c r="W11" s="2">
        <v>4509</v>
      </c>
      <c r="Y11" s="4">
        <v>4</v>
      </c>
      <c r="Z11" s="2">
        <v>5193</v>
      </c>
      <c r="AA11" s="2">
        <v>11051</v>
      </c>
      <c r="AB11" s="2">
        <v>3403</v>
      </c>
      <c r="AD11" s="4">
        <v>4</v>
      </c>
      <c r="AE11" s="2">
        <v>15601</v>
      </c>
      <c r="AF11" s="2">
        <v>25252</v>
      </c>
      <c r="AG11" s="2">
        <v>6420</v>
      </c>
      <c r="AI11" s="4">
        <v>4</v>
      </c>
      <c r="AJ11" s="2">
        <v>6291</v>
      </c>
      <c r="AK11" s="2">
        <v>12483</v>
      </c>
      <c r="AL11" s="2">
        <v>3277</v>
      </c>
      <c r="AN11" s="4">
        <v>4</v>
      </c>
      <c r="AO11" s="2">
        <v>28752</v>
      </c>
      <c r="AP11" s="2">
        <v>34127</v>
      </c>
      <c r="AQ11" s="2">
        <v>7407</v>
      </c>
      <c r="AS11" s="4">
        <v>4</v>
      </c>
      <c r="AT11" s="2">
        <v>12896</v>
      </c>
      <c r="AU11" s="2">
        <v>15533</v>
      </c>
      <c r="AV11" s="2">
        <v>5086</v>
      </c>
      <c r="AX11" s="4">
        <v>4</v>
      </c>
      <c r="AY11" s="2">
        <v>7892</v>
      </c>
      <c r="AZ11" s="2">
        <v>17877</v>
      </c>
      <c r="BA11" s="2">
        <v>4621</v>
      </c>
      <c r="BC11" s="4">
        <v>4</v>
      </c>
      <c r="BD11" s="2">
        <v>8533</v>
      </c>
      <c r="BE11" s="2">
        <v>13925</v>
      </c>
      <c r="BF11" s="2">
        <v>4275</v>
      </c>
      <c r="BH11" s="4">
        <v>4</v>
      </c>
      <c r="BI11" s="2">
        <v>13992</v>
      </c>
      <c r="BJ11" s="2">
        <v>16138</v>
      </c>
      <c r="BK11" s="2">
        <v>4634</v>
      </c>
      <c r="BM11" s="4">
        <v>4</v>
      </c>
      <c r="BN11" s="2">
        <v>17224</v>
      </c>
      <c r="BO11" s="2">
        <v>17673</v>
      </c>
      <c r="BP11" s="2">
        <v>5133</v>
      </c>
      <c r="BR11" s="4">
        <v>4</v>
      </c>
      <c r="BS11" s="2">
        <v>10610</v>
      </c>
      <c r="BT11" s="2">
        <v>14997</v>
      </c>
      <c r="BU11" s="2">
        <v>4723</v>
      </c>
      <c r="BW11" s="4">
        <v>4</v>
      </c>
      <c r="BX11" s="43">
        <v>3681</v>
      </c>
      <c r="BY11" s="43">
        <v>7572</v>
      </c>
      <c r="BZ11" s="43">
        <v>2935</v>
      </c>
    </row>
    <row r="12" spans="1:78" x14ac:dyDescent="0.25">
      <c r="D12" t="s">
        <v>21</v>
      </c>
      <c r="E12" s="4">
        <v>5</v>
      </c>
      <c r="F12" s="2">
        <v>11511</v>
      </c>
      <c r="G12" s="2">
        <v>16663</v>
      </c>
      <c r="H12" s="2">
        <v>4944</v>
      </c>
      <c r="J12" s="4">
        <v>5</v>
      </c>
      <c r="K12" s="2">
        <v>14072</v>
      </c>
      <c r="L12" s="2">
        <v>22784</v>
      </c>
      <c r="M12" s="2">
        <v>5692</v>
      </c>
      <c r="O12" s="4">
        <v>5</v>
      </c>
      <c r="P12" s="2">
        <v>24820</v>
      </c>
      <c r="Q12" s="2">
        <v>29545</v>
      </c>
      <c r="R12" s="2">
        <v>7844</v>
      </c>
      <c r="T12" s="4">
        <v>5</v>
      </c>
      <c r="U12" s="2">
        <v>11338</v>
      </c>
      <c r="V12" s="2">
        <v>20413</v>
      </c>
      <c r="W12" s="2">
        <v>6216</v>
      </c>
      <c r="Y12" s="4">
        <v>5</v>
      </c>
      <c r="Z12" s="2">
        <v>13533</v>
      </c>
      <c r="AA12" s="2">
        <v>25474</v>
      </c>
      <c r="AB12" s="2">
        <v>6218</v>
      </c>
      <c r="AD12" s="4">
        <v>5</v>
      </c>
      <c r="AE12" s="2">
        <v>11730</v>
      </c>
      <c r="AF12" s="2">
        <v>23263</v>
      </c>
      <c r="AG12" s="2">
        <v>5276</v>
      </c>
      <c r="AI12" s="4">
        <v>5</v>
      </c>
      <c r="AJ12" s="2">
        <v>15775</v>
      </c>
      <c r="AK12" s="2">
        <v>24738</v>
      </c>
      <c r="AL12" s="2">
        <v>7060</v>
      </c>
      <c r="AN12" s="4">
        <v>5</v>
      </c>
      <c r="AO12" s="2">
        <v>13715</v>
      </c>
      <c r="AP12" s="2">
        <v>18128</v>
      </c>
      <c r="AQ12" s="2">
        <v>6039</v>
      </c>
      <c r="AS12" s="4">
        <v>5</v>
      </c>
      <c r="AT12" s="2">
        <v>19607</v>
      </c>
      <c r="AU12" s="2">
        <v>26980</v>
      </c>
      <c r="AV12" s="2">
        <v>6809</v>
      </c>
      <c r="AX12" s="4">
        <v>5</v>
      </c>
      <c r="AY12" s="2">
        <v>16143</v>
      </c>
      <c r="AZ12" s="2">
        <v>23771</v>
      </c>
      <c r="BA12" s="2">
        <v>6307</v>
      </c>
      <c r="BC12" s="4">
        <v>5</v>
      </c>
      <c r="BD12" s="2">
        <v>3535</v>
      </c>
      <c r="BE12" s="2">
        <v>7379</v>
      </c>
      <c r="BF12" s="2">
        <v>2418</v>
      </c>
      <c r="BH12" s="4">
        <v>5</v>
      </c>
      <c r="BI12" s="2">
        <v>20181</v>
      </c>
      <c r="BJ12" s="2">
        <v>19859</v>
      </c>
      <c r="BK12" s="2">
        <v>6009</v>
      </c>
      <c r="BM12" s="4">
        <v>5</v>
      </c>
      <c r="BN12" s="2">
        <v>18340</v>
      </c>
      <c r="BO12" s="2">
        <v>20309</v>
      </c>
      <c r="BP12" s="2">
        <v>5480</v>
      </c>
      <c r="BR12" s="4">
        <v>5</v>
      </c>
      <c r="BS12" s="2">
        <v>6339</v>
      </c>
      <c r="BT12" s="2">
        <v>12724</v>
      </c>
      <c r="BU12" s="2">
        <v>3702</v>
      </c>
      <c r="BW12" s="4">
        <v>5</v>
      </c>
      <c r="BX12" s="2">
        <v>8518</v>
      </c>
      <c r="BY12" s="2">
        <v>17242</v>
      </c>
      <c r="BZ12" s="2">
        <v>5392</v>
      </c>
    </row>
    <row r="13" spans="1:78" x14ac:dyDescent="0.25">
      <c r="D13" t="s">
        <v>22</v>
      </c>
      <c r="E13" s="4">
        <v>5</v>
      </c>
      <c r="F13" s="2">
        <v>7585</v>
      </c>
      <c r="G13" s="2">
        <v>11597</v>
      </c>
      <c r="H13" s="2">
        <v>3778</v>
      </c>
      <c r="J13" s="4">
        <v>5</v>
      </c>
      <c r="K13" s="2">
        <v>14312</v>
      </c>
      <c r="L13" s="2">
        <v>16933</v>
      </c>
      <c r="M13" s="2">
        <v>4542</v>
      </c>
      <c r="O13" s="4">
        <v>5</v>
      </c>
      <c r="P13" s="2">
        <v>20670</v>
      </c>
      <c r="Q13" s="2">
        <v>24610</v>
      </c>
      <c r="R13" s="2">
        <v>6155</v>
      </c>
      <c r="T13" s="4">
        <v>5</v>
      </c>
      <c r="U13" s="2">
        <v>9466</v>
      </c>
      <c r="V13" s="2">
        <v>15034</v>
      </c>
      <c r="W13" s="2">
        <v>4829</v>
      </c>
      <c r="Y13" s="4">
        <v>5</v>
      </c>
      <c r="Z13" s="2">
        <v>9961</v>
      </c>
      <c r="AA13" s="2">
        <v>17835</v>
      </c>
      <c r="AB13" s="2">
        <v>5664</v>
      </c>
      <c r="AD13" s="4">
        <v>5</v>
      </c>
      <c r="AE13" s="2">
        <v>9835</v>
      </c>
      <c r="AF13" s="2">
        <v>20890</v>
      </c>
      <c r="AG13" s="2">
        <v>5047</v>
      </c>
      <c r="AI13" s="4">
        <v>5</v>
      </c>
      <c r="AJ13" s="2">
        <v>13638</v>
      </c>
      <c r="AK13" s="2">
        <v>18644</v>
      </c>
      <c r="AL13" s="2">
        <v>5358</v>
      </c>
      <c r="AN13" s="4">
        <v>5</v>
      </c>
      <c r="AO13" s="2">
        <v>12098</v>
      </c>
      <c r="AP13" s="2">
        <v>16395</v>
      </c>
      <c r="AQ13" s="2">
        <v>4768</v>
      </c>
      <c r="AS13" s="4">
        <v>5</v>
      </c>
      <c r="AT13" s="2">
        <v>17250</v>
      </c>
      <c r="AU13" s="2">
        <v>23502</v>
      </c>
      <c r="AV13" s="2">
        <v>5744</v>
      </c>
      <c r="AX13" s="4">
        <v>5</v>
      </c>
      <c r="AY13" s="2">
        <v>16309</v>
      </c>
      <c r="AZ13" s="2">
        <v>24493</v>
      </c>
      <c r="BA13" s="2">
        <v>6282</v>
      </c>
      <c r="BC13" s="4">
        <v>5</v>
      </c>
      <c r="BD13" s="2">
        <v>2394</v>
      </c>
      <c r="BE13" s="2">
        <v>5831</v>
      </c>
      <c r="BF13" s="2">
        <v>1787</v>
      </c>
      <c r="BH13" s="4">
        <v>5</v>
      </c>
      <c r="BI13" s="2">
        <v>16644</v>
      </c>
      <c r="BJ13" s="2">
        <v>16432</v>
      </c>
      <c r="BK13" s="2">
        <v>5087</v>
      </c>
      <c r="BM13" s="4">
        <v>5</v>
      </c>
      <c r="BN13" s="2">
        <v>14257</v>
      </c>
      <c r="BO13" s="2">
        <v>15499</v>
      </c>
      <c r="BP13" s="2">
        <v>4852</v>
      </c>
      <c r="BR13" s="4">
        <v>5</v>
      </c>
      <c r="BS13" s="2">
        <v>3861</v>
      </c>
      <c r="BT13" s="2">
        <v>9228</v>
      </c>
      <c r="BU13" s="2">
        <v>3024</v>
      </c>
      <c r="BW13" s="4">
        <v>5</v>
      </c>
      <c r="BX13" s="2">
        <v>5310</v>
      </c>
      <c r="BY13" s="2">
        <v>9494</v>
      </c>
      <c r="BZ13" s="2">
        <v>3383</v>
      </c>
    </row>
    <row r="14" spans="1:78" x14ac:dyDescent="0.25">
      <c r="D14" t="s">
        <v>21</v>
      </c>
      <c r="E14" s="4">
        <v>6</v>
      </c>
      <c r="F14" s="2">
        <v>12034</v>
      </c>
      <c r="G14" s="2">
        <v>22642</v>
      </c>
      <c r="H14" s="2">
        <v>5674</v>
      </c>
      <c r="J14" s="4">
        <v>6</v>
      </c>
      <c r="K14" s="2">
        <v>15096</v>
      </c>
      <c r="L14" s="2">
        <v>19828</v>
      </c>
      <c r="M14" s="2">
        <v>5657</v>
      </c>
      <c r="O14" s="4">
        <v>6</v>
      </c>
      <c r="P14" s="2">
        <v>29391</v>
      </c>
      <c r="Q14" s="2">
        <v>32896</v>
      </c>
      <c r="R14" s="2">
        <v>8485</v>
      </c>
      <c r="T14" s="4">
        <v>6</v>
      </c>
      <c r="U14" s="2">
        <v>16546</v>
      </c>
      <c r="V14" s="2">
        <v>23758</v>
      </c>
      <c r="W14" s="2">
        <v>6218</v>
      </c>
      <c r="Y14" s="4">
        <v>6</v>
      </c>
      <c r="Z14" s="2">
        <v>10584</v>
      </c>
      <c r="AA14" s="2">
        <v>22002</v>
      </c>
      <c r="AB14" s="2">
        <v>5899</v>
      </c>
      <c r="AD14" s="4">
        <v>6</v>
      </c>
      <c r="AE14" s="2">
        <v>8550</v>
      </c>
      <c r="AF14" s="2">
        <v>17939</v>
      </c>
      <c r="AG14" s="2">
        <v>5064</v>
      </c>
      <c r="AI14" s="4">
        <v>6</v>
      </c>
      <c r="AJ14" s="2">
        <v>11897</v>
      </c>
      <c r="AK14" s="2">
        <v>18607</v>
      </c>
      <c r="AL14" s="2">
        <v>5002</v>
      </c>
      <c r="AN14" s="4">
        <v>6</v>
      </c>
      <c r="AO14" s="2">
        <v>24942</v>
      </c>
      <c r="AP14" s="2">
        <v>38425</v>
      </c>
      <c r="AQ14" s="2">
        <v>6308</v>
      </c>
      <c r="AS14" s="4">
        <v>6</v>
      </c>
      <c r="AT14" s="2">
        <v>21977</v>
      </c>
      <c r="AU14" s="2">
        <v>34249</v>
      </c>
      <c r="AV14" s="2">
        <v>9000</v>
      </c>
      <c r="AX14" s="4">
        <v>6</v>
      </c>
      <c r="AY14" s="2">
        <v>10660</v>
      </c>
      <c r="AZ14" s="2">
        <v>19912</v>
      </c>
      <c r="BA14" s="2">
        <v>5901</v>
      </c>
      <c r="BC14" s="4">
        <v>6</v>
      </c>
      <c r="BD14" s="2">
        <v>4796</v>
      </c>
      <c r="BE14" s="2">
        <v>9164</v>
      </c>
      <c r="BF14" s="2">
        <v>3543</v>
      </c>
      <c r="BH14" s="4">
        <v>6</v>
      </c>
      <c r="BI14" s="2">
        <v>25090</v>
      </c>
      <c r="BJ14" s="2">
        <v>23650</v>
      </c>
      <c r="BK14" s="2">
        <v>6583</v>
      </c>
      <c r="BM14" s="4">
        <v>6</v>
      </c>
      <c r="BN14" s="2">
        <v>18073</v>
      </c>
      <c r="BO14" s="2">
        <v>19548</v>
      </c>
      <c r="BP14" s="2">
        <v>5726</v>
      </c>
      <c r="BR14" s="4">
        <v>6</v>
      </c>
      <c r="BS14" s="2">
        <v>8964</v>
      </c>
      <c r="BT14" s="2">
        <v>15851</v>
      </c>
      <c r="BU14" s="2">
        <v>4286</v>
      </c>
      <c r="BW14" s="4">
        <v>6</v>
      </c>
      <c r="BX14" s="2">
        <v>9678</v>
      </c>
      <c r="BY14" s="2">
        <v>21349</v>
      </c>
      <c r="BZ14" s="2">
        <v>5754</v>
      </c>
    </row>
    <row r="15" spans="1:78" x14ac:dyDescent="0.25">
      <c r="D15" t="s">
        <v>22</v>
      </c>
      <c r="E15" s="4">
        <v>6</v>
      </c>
      <c r="F15" s="2">
        <v>9108</v>
      </c>
      <c r="G15" s="2">
        <v>14580</v>
      </c>
      <c r="H15" s="2">
        <v>4082</v>
      </c>
      <c r="J15" s="4">
        <v>6</v>
      </c>
      <c r="K15" s="2">
        <v>9750</v>
      </c>
      <c r="L15" s="2">
        <v>17524</v>
      </c>
      <c r="M15" s="2">
        <v>4326</v>
      </c>
      <c r="O15" s="4">
        <v>6</v>
      </c>
      <c r="P15" s="2">
        <v>22939</v>
      </c>
      <c r="Q15" s="2">
        <v>21144</v>
      </c>
      <c r="R15" s="2">
        <v>6200</v>
      </c>
      <c r="T15" s="4">
        <v>6</v>
      </c>
      <c r="U15" s="2">
        <v>12173</v>
      </c>
      <c r="V15" s="2">
        <v>16041</v>
      </c>
      <c r="W15" s="2">
        <v>4709</v>
      </c>
      <c r="Y15" s="4">
        <v>6</v>
      </c>
      <c r="Z15" s="2">
        <v>4288</v>
      </c>
      <c r="AA15" s="2">
        <v>12588</v>
      </c>
      <c r="AB15" s="2">
        <v>3536</v>
      </c>
      <c r="AD15" s="4">
        <v>6</v>
      </c>
      <c r="AE15" s="2">
        <v>6477</v>
      </c>
      <c r="AF15" s="2">
        <v>12873</v>
      </c>
      <c r="AG15" s="2">
        <v>3215</v>
      </c>
      <c r="AI15" s="4">
        <v>6</v>
      </c>
      <c r="AJ15" s="2">
        <v>9331</v>
      </c>
      <c r="AK15" s="2">
        <v>17329</v>
      </c>
      <c r="AL15" s="2">
        <v>4492</v>
      </c>
      <c r="AN15" s="4">
        <v>6</v>
      </c>
      <c r="AO15" s="2">
        <v>21249</v>
      </c>
      <c r="AP15" s="2">
        <v>27761</v>
      </c>
      <c r="AQ15" s="2">
        <v>7866</v>
      </c>
      <c r="AS15" s="4">
        <v>6</v>
      </c>
      <c r="AT15" s="2">
        <v>19596</v>
      </c>
      <c r="AU15" s="2">
        <v>26182</v>
      </c>
      <c r="AV15" s="2">
        <v>6451</v>
      </c>
      <c r="AX15" s="4">
        <v>6</v>
      </c>
      <c r="AY15" s="2">
        <v>9896</v>
      </c>
      <c r="AZ15" s="2">
        <v>17496</v>
      </c>
      <c r="BA15" s="2">
        <v>4763</v>
      </c>
      <c r="BC15" s="4">
        <v>6</v>
      </c>
      <c r="BD15" s="2">
        <v>3173</v>
      </c>
      <c r="BE15" s="2">
        <v>6825</v>
      </c>
      <c r="BF15" s="2">
        <v>1998</v>
      </c>
      <c r="BH15" s="4">
        <v>6</v>
      </c>
      <c r="BI15" s="2">
        <v>17255</v>
      </c>
      <c r="BJ15" s="2">
        <v>17866</v>
      </c>
      <c r="BK15" s="2">
        <v>5610</v>
      </c>
      <c r="BM15" s="4">
        <v>6</v>
      </c>
      <c r="BN15" s="2">
        <v>15434</v>
      </c>
      <c r="BO15" s="2">
        <v>19560</v>
      </c>
      <c r="BP15" s="2">
        <v>4733</v>
      </c>
      <c r="BR15" s="4">
        <v>6</v>
      </c>
      <c r="BS15" s="2">
        <v>6319</v>
      </c>
      <c r="BT15" s="2">
        <v>10593</v>
      </c>
      <c r="BU15" s="2">
        <v>3322</v>
      </c>
      <c r="BW15" s="4">
        <v>6</v>
      </c>
      <c r="BX15" s="2">
        <v>7689</v>
      </c>
      <c r="BY15" s="2">
        <v>12339</v>
      </c>
      <c r="BZ15" s="2">
        <v>3301</v>
      </c>
    </row>
    <row r="16" spans="1:78" x14ac:dyDescent="0.25">
      <c r="D16" t="s">
        <v>21</v>
      </c>
      <c r="E16" s="4">
        <v>7</v>
      </c>
      <c r="F16" s="2">
        <v>8705</v>
      </c>
      <c r="G16" s="2">
        <v>15320</v>
      </c>
      <c r="H16" s="2">
        <v>4266</v>
      </c>
      <c r="J16" s="4">
        <v>7</v>
      </c>
      <c r="K16" s="18"/>
      <c r="L16" s="18"/>
      <c r="M16" s="19"/>
      <c r="O16" s="4">
        <v>7</v>
      </c>
      <c r="P16" s="2">
        <v>31015</v>
      </c>
      <c r="Q16" s="2">
        <v>38875</v>
      </c>
      <c r="R16" s="2">
        <v>8312</v>
      </c>
      <c r="T16" s="4">
        <v>7</v>
      </c>
      <c r="U16" s="2">
        <v>13954</v>
      </c>
      <c r="V16" s="2">
        <v>23102</v>
      </c>
      <c r="W16" s="2">
        <v>6659</v>
      </c>
      <c r="Y16" s="4">
        <v>7</v>
      </c>
      <c r="Z16" s="2">
        <v>12344</v>
      </c>
      <c r="AA16" s="2">
        <v>23160</v>
      </c>
      <c r="AB16" s="2">
        <v>5547</v>
      </c>
      <c r="AD16" s="4">
        <v>7</v>
      </c>
      <c r="AE16" s="2">
        <v>9170</v>
      </c>
      <c r="AF16" s="2">
        <v>16280</v>
      </c>
      <c r="AG16" s="2">
        <v>4745</v>
      </c>
      <c r="AI16" s="4">
        <v>7</v>
      </c>
      <c r="AJ16" s="2">
        <v>13173</v>
      </c>
      <c r="AK16" s="2">
        <v>23560</v>
      </c>
      <c r="AL16" s="2">
        <v>6239</v>
      </c>
      <c r="AN16" s="4">
        <v>7</v>
      </c>
      <c r="AO16" s="2">
        <v>23720</v>
      </c>
      <c r="AP16" s="2">
        <v>34908</v>
      </c>
      <c r="AQ16" s="2">
        <v>7204</v>
      </c>
      <c r="AS16" s="4">
        <v>7</v>
      </c>
      <c r="AT16" s="2">
        <v>23316</v>
      </c>
      <c r="AU16" s="2">
        <v>26309</v>
      </c>
      <c r="AV16" s="2">
        <v>7257</v>
      </c>
      <c r="AX16" s="4">
        <v>7</v>
      </c>
      <c r="AY16" s="2">
        <v>9387</v>
      </c>
      <c r="AZ16" s="2">
        <v>17128</v>
      </c>
      <c r="BA16" s="2">
        <v>4480</v>
      </c>
      <c r="BC16" s="4">
        <v>7</v>
      </c>
      <c r="BD16" s="2">
        <v>7390</v>
      </c>
      <c r="BE16" s="2">
        <v>14246</v>
      </c>
      <c r="BF16" s="2">
        <v>3403</v>
      </c>
      <c r="BH16" s="4">
        <v>7</v>
      </c>
      <c r="BI16" s="2">
        <v>20694</v>
      </c>
      <c r="BJ16" s="2">
        <v>31516</v>
      </c>
      <c r="BK16" s="2">
        <v>6637</v>
      </c>
      <c r="BM16" s="4">
        <v>7</v>
      </c>
      <c r="BN16" s="2">
        <v>20970</v>
      </c>
      <c r="BO16" s="2">
        <v>20800</v>
      </c>
      <c r="BP16" s="2">
        <v>6389</v>
      </c>
      <c r="BR16" s="4">
        <v>7</v>
      </c>
      <c r="BS16" s="3"/>
      <c r="BT16" s="3"/>
      <c r="BU16" s="3"/>
      <c r="BW16" s="4">
        <v>7</v>
      </c>
      <c r="BX16" s="2">
        <v>21981</v>
      </c>
      <c r="BY16" s="2">
        <v>26685</v>
      </c>
      <c r="BZ16" s="2">
        <v>6808</v>
      </c>
    </row>
    <row r="17" spans="4:78" x14ac:dyDescent="0.25">
      <c r="D17" t="s">
        <v>22</v>
      </c>
      <c r="E17" s="4">
        <v>7</v>
      </c>
      <c r="F17" s="2">
        <v>4104</v>
      </c>
      <c r="G17" s="2">
        <v>8185</v>
      </c>
      <c r="H17" s="2">
        <v>2802</v>
      </c>
      <c r="J17" s="4">
        <v>7</v>
      </c>
      <c r="K17" s="18"/>
      <c r="L17" s="18"/>
      <c r="M17" s="19"/>
      <c r="O17" s="4">
        <v>7</v>
      </c>
      <c r="P17" s="2">
        <v>19566</v>
      </c>
      <c r="Q17" s="2">
        <v>22155</v>
      </c>
      <c r="R17" s="2">
        <v>6931</v>
      </c>
      <c r="T17" s="4">
        <v>7</v>
      </c>
      <c r="U17" s="2">
        <v>10940</v>
      </c>
      <c r="V17" s="2">
        <v>14574</v>
      </c>
      <c r="W17" s="2">
        <v>4641</v>
      </c>
      <c r="Y17" s="4">
        <v>7</v>
      </c>
      <c r="Z17" s="2">
        <v>7453</v>
      </c>
      <c r="AA17" s="2">
        <v>14829</v>
      </c>
      <c r="AB17" s="2">
        <v>4282</v>
      </c>
      <c r="AD17" s="4">
        <v>7</v>
      </c>
      <c r="AE17" s="2">
        <v>7610</v>
      </c>
      <c r="AF17" s="2">
        <v>14334</v>
      </c>
      <c r="AG17" s="2">
        <v>4238</v>
      </c>
      <c r="AI17" s="4">
        <v>7</v>
      </c>
      <c r="AJ17" s="2">
        <v>11427</v>
      </c>
      <c r="AK17" s="2">
        <v>14657</v>
      </c>
      <c r="AL17" s="2">
        <v>4469</v>
      </c>
      <c r="AN17" s="4">
        <v>7</v>
      </c>
      <c r="AO17" s="2">
        <v>24680</v>
      </c>
      <c r="AP17" s="2">
        <v>30669</v>
      </c>
      <c r="AQ17" s="2">
        <v>6294</v>
      </c>
      <c r="AS17" s="4">
        <v>7</v>
      </c>
      <c r="AT17" s="2">
        <v>15565</v>
      </c>
      <c r="AU17" s="2">
        <v>17113</v>
      </c>
      <c r="AV17" s="2">
        <v>5539</v>
      </c>
      <c r="AX17" s="4">
        <v>7</v>
      </c>
      <c r="AY17" s="2">
        <v>7980</v>
      </c>
      <c r="AZ17" s="2">
        <v>13828</v>
      </c>
      <c r="BA17" s="2">
        <v>3429</v>
      </c>
      <c r="BC17" s="4">
        <v>7</v>
      </c>
      <c r="BD17" s="2">
        <v>6746</v>
      </c>
      <c r="BE17" s="2">
        <v>10717</v>
      </c>
      <c r="BF17" s="2">
        <v>3021</v>
      </c>
      <c r="BH17" s="4">
        <v>7</v>
      </c>
      <c r="BI17" s="2">
        <v>15963</v>
      </c>
      <c r="BJ17" s="2">
        <v>20163</v>
      </c>
      <c r="BK17" s="2">
        <v>5756</v>
      </c>
      <c r="BM17" s="4">
        <v>7</v>
      </c>
      <c r="BN17" s="2">
        <v>15790</v>
      </c>
      <c r="BO17" s="2">
        <v>18198</v>
      </c>
      <c r="BP17" s="2">
        <v>5197</v>
      </c>
      <c r="BR17" s="4">
        <v>7</v>
      </c>
      <c r="BS17" s="3"/>
      <c r="BT17" s="3"/>
      <c r="BU17" s="3"/>
      <c r="BW17" s="4">
        <v>7</v>
      </c>
      <c r="BX17" s="2">
        <v>17684</v>
      </c>
      <c r="BY17" s="2">
        <v>21027</v>
      </c>
      <c r="BZ17" s="2">
        <v>5169</v>
      </c>
    </row>
    <row r="18" spans="4:78" x14ac:dyDescent="0.25">
      <c r="D18" t="s">
        <v>21</v>
      </c>
      <c r="E18" s="4">
        <v>8</v>
      </c>
      <c r="F18" s="3"/>
      <c r="G18" s="3"/>
      <c r="H18" s="3"/>
      <c r="J18" s="4">
        <v>8</v>
      </c>
      <c r="K18" s="2">
        <v>15631</v>
      </c>
      <c r="L18" s="2">
        <v>22264</v>
      </c>
      <c r="M18" s="2">
        <v>6292</v>
      </c>
      <c r="O18" s="4">
        <v>8</v>
      </c>
      <c r="P18" s="2">
        <v>12961</v>
      </c>
      <c r="Q18" s="2">
        <v>21128</v>
      </c>
      <c r="R18" s="2">
        <v>6833</v>
      </c>
      <c r="T18" s="4">
        <v>8</v>
      </c>
      <c r="U18" s="2">
        <v>12503</v>
      </c>
      <c r="V18" s="2">
        <v>15797</v>
      </c>
      <c r="W18" s="2">
        <v>4758</v>
      </c>
      <c r="Y18" s="4">
        <v>8</v>
      </c>
      <c r="Z18" s="2">
        <v>6167</v>
      </c>
      <c r="AA18" s="2">
        <v>13047</v>
      </c>
      <c r="AB18" s="2">
        <v>4389</v>
      </c>
      <c r="AD18" s="4">
        <v>8</v>
      </c>
      <c r="AE18" s="2">
        <v>22582</v>
      </c>
      <c r="AF18" s="2">
        <v>31862</v>
      </c>
      <c r="AG18" s="2">
        <v>6462</v>
      </c>
      <c r="AI18" s="4">
        <v>8</v>
      </c>
      <c r="AJ18" s="2">
        <v>19217</v>
      </c>
      <c r="AK18" s="2">
        <v>21798</v>
      </c>
      <c r="AL18" s="2">
        <v>5635</v>
      </c>
      <c r="AN18" s="4">
        <v>8</v>
      </c>
      <c r="AO18" s="2">
        <v>8780</v>
      </c>
      <c r="AP18" s="2">
        <v>16517</v>
      </c>
      <c r="AQ18" s="2">
        <v>5490</v>
      </c>
      <c r="AS18" s="4">
        <v>8</v>
      </c>
      <c r="AT18" s="2">
        <v>16274</v>
      </c>
      <c r="AU18" s="2">
        <v>27047</v>
      </c>
      <c r="AV18" s="2">
        <v>5907</v>
      </c>
      <c r="AX18" s="4">
        <v>8</v>
      </c>
      <c r="AY18" s="2">
        <v>15785</v>
      </c>
      <c r="AZ18" s="2">
        <v>23091</v>
      </c>
      <c r="BA18" s="2">
        <v>5714</v>
      </c>
      <c r="BC18" s="4">
        <v>8</v>
      </c>
      <c r="BH18" s="4">
        <v>8</v>
      </c>
      <c r="BI18" s="2">
        <v>27923</v>
      </c>
      <c r="BJ18" s="2">
        <v>23720</v>
      </c>
      <c r="BK18" s="2">
        <v>6559</v>
      </c>
      <c r="BM18" s="4">
        <v>8</v>
      </c>
      <c r="BN18" s="2">
        <v>11568</v>
      </c>
      <c r="BO18" s="2">
        <v>18565</v>
      </c>
      <c r="BP18" s="2">
        <v>4833</v>
      </c>
      <c r="BR18" s="4">
        <v>8</v>
      </c>
      <c r="BW18" s="4">
        <v>8</v>
      </c>
      <c r="BX18" s="2">
        <v>11684</v>
      </c>
      <c r="BY18" s="2">
        <v>25814</v>
      </c>
      <c r="BZ18" s="2">
        <v>6480</v>
      </c>
    </row>
    <row r="19" spans="4:78" x14ac:dyDescent="0.25">
      <c r="D19" t="s">
        <v>22</v>
      </c>
      <c r="E19" s="4">
        <v>8</v>
      </c>
      <c r="F19" s="3"/>
      <c r="G19" s="3"/>
      <c r="H19" s="3"/>
      <c r="J19" s="4">
        <v>8</v>
      </c>
      <c r="K19" s="2">
        <v>12455</v>
      </c>
      <c r="L19" s="2">
        <v>17464</v>
      </c>
      <c r="M19" s="2">
        <v>4152</v>
      </c>
      <c r="O19" s="4">
        <v>8</v>
      </c>
      <c r="P19" s="2">
        <v>7911</v>
      </c>
      <c r="Q19" s="2">
        <v>12971</v>
      </c>
      <c r="R19" s="2">
        <v>4183</v>
      </c>
      <c r="T19" s="4">
        <v>8</v>
      </c>
      <c r="U19" s="2">
        <v>10786</v>
      </c>
      <c r="V19" s="2">
        <v>19751</v>
      </c>
      <c r="W19" s="2">
        <v>5034</v>
      </c>
      <c r="Y19" s="4">
        <v>8</v>
      </c>
      <c r="Z19" s="2">
        <v>5365</v>
      </c>
      <c r="AA19" s="2">
        <v>12755</v>
      </c>
      <c r="AB19" s="2">
        <v>3905</v>
      </c>
      <c r="AD19" s="4">
        <v>8</v>
      </c>
      <c r="AE19" s="2">
        <v>22782</v>
      </c>
      <c r="AF19" s="2">
        <v>23496</v>
      </c>
      <c r="AG19" s="2">
        <v>6113</v>
      </c>
      <c r="AI19" s="4">
        <v>8</v>
      </c>
      <c r="AJ19" s="2">
        <v>10969</v>
      </c>
      <c r="AK19" s="2">
        <v>18700</v>
      </c>
      <c r="AL19" s="2">
        <v>5479</v>
      </c>
      <c r="AN19" s="4">
        <v>8</v>
      </c>
      <c r="AO19" s="2">
        <v>7768</v>
      </c>
      <c r="AP19" s="2">
        <v>13800</v>
      </c>
      <c r="AQ19" s="2">
        <v>4147</v>
      </c>
      <c r="AS19" s="4">
        <v>8</v>
      </c>
      <c r="AT19" s="2">
        <v>15095</v>
      </c>
      <c r="AU19" s="2">
        <v>20933</v>
      </c>
      <c r="AV19" s="2">
        <v>5653</v>
      </c>
      <c r="AX19" s="4">
        <v>8</v>
      </c>
      <c r="AY19" s="2">
        <v>13521</v>
      </c>
      <c r="AZ19" s="2">
        <v>18003</v>
      </c>
      <c r="BA19" s="2">
        <v>5209</v>
      </c>
      <c r="BC19" s="4">
        <v>8</v>
      </c>
      <c r="BH19" s="4">
        <v>8</v>
      </c>
      <c r="BI19" s="2">
        <v>23826</v>
      </c>
      <c r="BJ19" s="2">
        <v>23693</v>
      </c>
      <c r="BK19" s="2">
        <v>6552</v>
      </c>
      <c r="BM19" s="4">
        <v>8</v>
      </c>
      <c r="BN19" s="2">
        <v>9383</v>
      </c>
      <c r="BO19" s="2">
        <v>13530</v>
      </c>
      <c r="BP19" s="2">
        <v>3719</v>
      </c>
      <c r="BR19" s="4">
        <v>8</v>
      </c>
      <c r="BW19" s="4">
        <v>8</v>
      </c>
      <c r="BX19" s="2">
        <v>7700</v>
      </c>
      <c r="BY19" s="2">
        <v>13543</v>
      </c>
      <c r="BZ19" s="2">
        <v>3669</v>
      </c>
    </row>
    <row r="20" spans="4:78" x14ac:dyDescent="0.25">
      <c r="D20" t="s">
        <v>21</v>
      </c>
      <c r="E20" s="4">
        <v>9</v>
      </c>
      <c r="F20" s="2">
        <v>14437</v>
      </c>
      <c r="G20" s="2">
        <v>17750</v>
      </c>
      <c r="H20" s="2">
        <v>4636</v>
      </c>
      <c r="J20" s="4">
        <v>9</v>
      </c>
      <c r="K20" s="2">
        <v>12773</v>
      </c>
      <c r="L20" s="2">
        <v>26821</v>
      </c>
      <c r="M20" s="2">
        <v>5389</v>
      </c>
      <c r="O20" s="4">
        <v>9</v>
      </c>
      <c r="P20" s="2">
        <v>21678</v>
      </c>
      <c r="Q20" s="2">
        <v>27465</v>
      </c>
      <c r="R20" s="2">
        <v>6971</v>
      </c>
      <c r="T20" s="4">
        <v>9</v>
      </c>
      <c r="U20" s="2">
        <v>13675</v>
      </c>
      <c r="V20" s="2">
        <v>25682</v>
      </c>
      <c r="W20" s="2">
        <v>6872</v>
      </c>
      <c r="Y20" s="4">
        <v>9</v>
      </c>
      <c r="Z20" s="2">
        <v>8754</v>
      </c>
      <c r="AA20" s="2">
        <v>14700</v>
      </c>
      <c r="AB20" s="2">
        <v>4891</v>
      </c>
      <c r="AD20" s="4">
        <v>9</v>
      </c>
      <c r="AE20" s="2">
        <v>10043</v>
      </c>
      <c r="AF20" s="2">
        <v>16941</v>
      </c>
      <c r="AG20" s="2">
        <v>5560</v>
      </c>
      <c r="AI20" s="4">
        <v>9</v>
      </c>
      <c r="AJ20" s="2">
        <v>13962</v>
      </c>
      <c r="AK20" s="2">
        <v>21853</v>
      </c>
      <c r="AL20" s="2">
        <v>6316</v>
      </c>
      <c r="AN20" s="4">
        <v>9</v>
      </c>
      <c r="AO20" s="2">
        <v>12631</v>
      </c>
      <c r="AP20" s="2">
        <v>26325</v>
      </c>
      <c r="AQ20" s="2">
        <v>5657</v>
      </c>
      <c r="AS20" s="4">
        <v>9</v>
      </c>
      <c r="AT20" s="2">
        <v>15864</v>
      </c>
      <c r="AU20" s="2">
        <v>23214</v>
      </c>
      <c r="AV20" s="2">
        <v>6176</v>
      </c>
      <c r="AX20" s="4">
        <v>9</v>
      </c>
      <c r="AY20" s="2">
        <v>8692</v>
      </c>
      <c r="AZ20" s="2">
        <v>17862</v>
      </c>
      <c r="BA20" s="2">
        <v>4690</v>
      </c>
      <c r="BC20" s="4">
        <v>9</v>
      </c>
      <c r="BH20" s="4">
        <v>9</v>
      </c>
      <c r="BI20" s="2">
        <v>20518</v>
      </c>
      <c r="BJ20" s="2">
        <v>24431</v>
      </c>
      <c r="BK20" s="2">
        <v>8305</v>
      </c>
      <c r="BM20" s="4">
        <v>9</v>
      </c>
      <c r="BR20" s="4">
        <v>9</v>
      </c>
      <c r="BW20" s="4">
        <v>9</v>
      </c>
      <c r="BX20" s="2">
        <v>12193</v>
      </c>
      <c r="BY20" s="2">
        <v>22900</v>
      </c>
      <c r="BZ20" s="2">
        <v>6746</v>
      </c>
    </row>
    <row r="21" spans="4:78" x14ac:dyDescent="0.25">
      <c r="D21" t="s">
        <v>22</v>
      </c>
      <c r="E21" s="4">
        <v>9</v>
      </c>
      <c r="F21" s="2">
        <v>9687</v>
      </c>
      <c r="G21" s="2">
        <v>19100</v>
      </c>
      <c r="H21" s="2">
        <v>4111</v>
      </c>
      <c r="J21" s="4">
        <v>9</v>
      </c>
      <c r="K21" s="2">
        <v>8987</v>
      </c>
      <c r="L21" s="2">
        <v>16153</v>
      </c>
      <c r="M21" s="2">
        <v>4149</v>
      </c>
      <c r="O21" s="4">
        <v>9</v>
      </c>
      <c r="P21" s="2">
        <v>17215</v>
      </c>
      <c r="Q21" s="2">
        <v>24649</v>
      </c>
      <c r="R21" s="2">
        <v>5417</v>
      </c>
      <c r="T21" s="4">
        <v>9</v>
      </c>
      <c r="U21" s="2">
        <v>12115</v>
      </c>
      <c r="V21" s="2">
        <v>18086</v>
      </c>
      <c r="W21" s="2">
        <v>5008</v>
      </c>
      <c r="Y21" s="4">
        <v>9</v>
      </c>
      <c r="Z21" s="2">
        <v>7286</v>
      </c>
      <c r="AA21" s="2">
        <v>14052</v>
      </c>
      <c r="AB21" s="2">
        <v>3581</v>
      </c>
      <c r="AD21" s="4">
        <v>9</v>
      </c>
      <c r="AE21" s="2">
        <v>5752</v>
      </c>
      <c r="AF21" s="2">
        <v>10599</v>
      </c>
      <c r="AG21" s="2">
        <v>3448</v>
      </c>
      <c r="AI21" s="4">
        <v>9</v>
      </c>
      <c r="AJ21" s="2">
        <v>11460</v>
      </c>
      <c r="AK21" s="2">
        <v>18210</v>
      </c>
      <c r="AL21" s="2">
        <v>4568</v>
      </c>
      <c r="AN21" s="4">
        <v>9</v>
      </c>
      <c r="AO21" s="2">
        <v>9318</v>
      </c>
      <c r="AP21" s="2">
        <v>16681</v>
      </c>
      <c r="AQ21" s="2">
        <v>5280</v>
      </c>
      <c r="AS21" s="4">
        <v>9</v>
      </c>
      <c r="AT21" s="2">
        <v>12917</v>
      </c>
      <c r="AU21" s="2">
        <v>19066</v>
      </c>
      <c r="AV21" s="2">
        <v>4746</v>
      </c>
      <c r="AX21" s="4">
        <v>9</v>
      </c>
      <c r="AY21" s="2">
        <v>5440</v>
      </c>
      <c r="AZ21" s="2">
        <v>12113</v>
      </c>
      <c r="BA21" s="2">
        <v>3382</v>
      </c>
      <c r="BC21" s="4">
        <v>9</v>
      </c>
      <c r="BH21" s="4">
        <v>9</v>
      </c>
      <c r="BI21" s="2">
        <v>10698</v>
      </c>
      <c r="BJ21" s="2">
        <v>13069</v>
      </c>
      <c r="BK21" s="2">
        <v>4516</v>
      </c>
      <c r="BM21" s="4">
        <v>9</v>
      </c>
      <c r="BR21" s="4">
        <v>9</v>
      </c>
      <c r="BW21" s="4">
        <v>9</v>
      </c>
      <c r="BX21" s="2">
        <v>8769</v>
      </c>
      <c r="BY21" s="2">
        <v>11882</v>
      </c>
      <c r="BZ21" s="2">
        <v>3283</v>
      </c>
    </row>
    <row r="22" spans="4:78" x14ac:dyDescent="0.25">
      <c r="D22" t="s">
        <v>21</v>
      </c>
      <c r="E22" s="4">
        <v>10</v>
      </c>
      <c r="F22" s="2">
        <v>14667</v>
      </c>
      <c r="G22" s="2">
        <v>20725</v>
      </c>
      <c r="H22" s="2">
        <v>6521</v>
      </c>
      <c r="J22" s="4">
        <v>10</v>
      </c>
      <c r="K22" s="2">
        <v>10195</v>
      </c>
      <c r="L22" s="2">
        <v>20203</v>
      </c>
      <c r="M22" s="2">
        <v>5396</v>
      </c>
      <c r="O22" s="4">
        <v>10</v>
      </c>
      <c r="P22" s="2">
        <v>18685</v>
      </c>
      <c r="Q22" s="2">
        <v>23938</v>
      </c>
      <c r="R22" s="2">
        <v>7896</v>
      </c>
      <c r="T22" s="4">
        <v>10</v>
      </c>
      <c r="U22" s="2">
        <v>8032</v>
      </c>
      <c r="V22" s="2">
        <v>15630</v>
      </c>
      <c r="W22" s="2">
        <v>4022</v>
      </c>
      <c r="Y22" s="4">
        <v>10</v>
      </c>
      <c r="Z22" s="2">
        <v>12846</v>
      </c>
      <c r="AA22" s="2">
        <v>18087</v>
      </c>
      <c r="AB22" s="2">
        <v>5097</v>
      </c>
      <c r="AD22" s="4">
        <v>10</v>
      </c>
      <c r="AE22" s="2">
        <v>14033</v>
      </c>
      <c r="AF22" s="2">
        <v>22480</v>
      </c>
      <c r="AG22" s="2">
        <v>5873</v>
      </c>
      <c r="AI22" s="4">
        <v>10</v>
      </c>
      <c r="AJ22" s="2">
        <v>13485</v>
      </c>
      <c r="AK22" s="2">
        <v>22946</v>
      </c>
      <c r="AL22" s="2">
        <v>5740</v>
      </c>
      <c r="AN22" s="4">
        <v>10</v>
      </c>
      <c r="AO22" s="2">
        <v>10148</v>
      </c>
      <c r="AP22" s="2">
        <v>19871</v>
      </c>
      <c r="AQ22" s="2">
        <v>5781</v>
      </c>
      <c r="AS22" s="4">
        <v>10</v>
      </c>
      <c r="AT22" s="2">
        <v>21849</v>
      </c>
      <c r="AU22" s="2">
        <v>32648</v>
      </c>
      <c r="AV22" s="2">
        <v>6371</v>
      </c>
      <c r="AX22" s="4">
        <v>10</v>
      </c>
      <c r="AY22" s="2">
        <v>16771</v>
      </c>
      <c r="AZ22" s="2">
        <v>30888</v>
      </c>
      <c r="BA22" s="2">
        <v>8317</v>
      </c>
      <c r="BC22" s="4">
        <v>10</v>
      </c>
      <c r="BH22" s="4">
        <v>10</v>
      </c>
      <c r="BI22" s="2">
        <v>20772</v>
      </c>
      <c r="BJ22" s="2">
        <v>21849</v>
      </c>
      <c r="BK22" s="2">
        <v>7095</v>
      </c>
      <c r="BM22" s="4">
        <v>10</v>
      </c>
      <c r="BR22" s="4">
        <v>10</v>
      </c>
      <c r="BW22" s="4">
        <v>10</v>
      </c>
      <c r="BX22" s="2">
        <v>13860</v>
      </c>
      <c r="BY22" s="2">
        <v>22488</v>
      </c>
      <c r="BZ22" s="2">
        <v>6452</v>
      </c>
    </row>
    <row r="23" spans="4:78" x14ac:dyDescent="0.25">
      <c r="D23" t="s">
        <v>22</v>
      </c>
      <c r="E23" s="4">
        <v>10</v>
      </c>
      <c r="F23" s="2">
        <v>9500</v>
      </c>
      <c r="G23" s="2">
        <v>13782</v>
      </c>
      <c r="H23" s="2">
        <v>3664</v>
      </c>
      <c r="J23" s="4">
        <v>10</v>
      </c>
      <c r="K23" s="2">
        <v>5728</v>
      </c>
      <c r="L23" s="2">
        <v>11947</v>
      </c>
      <c r="M23" s="2">
        <v>2961</v>
      </c>
      <c r="O23" s="4">
        <v>10</v>
      </c>
      <c r="P23" s="2">
        <v>11473</v>
      </c>
      <c r="Q23" s="2">
        <v>14041</v>
      </c>
      <c r="R23" s="2">
        <v>4565</v>
      </c>
      <c r="T23" s="4">
        <v>10</v>
      </c>
      <c r="U23" s="2">
        <v>9370</v>
      </c>
      <c r="V23" s="2">
        <v>16864</v>
      </c>
      <c r="W23" s="2">
        <v>4578</v>
      </c>
      <c r="Y23" s="4">
        <v>10</v>
      </c>
      <c r="Z23" s="2">
        <v>6855</v>
      </c>
      <c r="AA23" s="2">
        <v>16509</v>
      </c>
      <c r="AB23" s="2">
        <v>4757</v>
      </c>
      <c r="AD23" s="4">
        <v>10</v>
      </c>
      <c r="AE23" s="2">
        <v>11063</v>
      </c>
      <c r="AF23" s="2">
        <v>15460</v>
      </c>
      <c r="AG23" s="2">
        <v>4235</v>
      </c>
      <c r="AI23" s="4">
        <v>10</v>
      </c>
      <c r="AJ23" s="2">
        <v>10675</v>
      </c>
      <c r="AK23" s="2">
        <v>17387</v>
      </c>
      <c r="AL23" s="2">
        <v>4705</v>
      </c>
      <c r="AN23" s="4">
        <v>10</v>
      </c>
      <c r="AO23" s="2">
        <v>6612</v>
      </c>
      <c r="AP23" s="2">
        <v>12596</v>
      </c>
      <c r="AQ23" s="2">
        <v>3413</v>
      </c>
      <c r="AS23" s="4">
        <v>10</v>
      </c>
      <c r="AT23" s="2">
        <v>16553</v>
      </c>
      <c r="AU23" s="2">
        <v>24184</v>
      </c>
      <c r="AV23" s="2">
        <v>5950</v>
      </c>
      <c r="AX23" s="4">
        <v>10</v>
      </c>
      <c r="AY23" s="2">
        <v>11630</v>
      </c>
      <c r="AZ23" s="2">
        <v>21325</v>
      </c>
      <c r="BA23" s="2">
        <v>4859</v>
      </c>
      <c r="BC23" s="4">
        <v>10</v>
      </c>
      <c r="BH23" s="4">
        <v>10</v>
      </c>
      <c r="BI23" s="2">
        <v>13207</v>
      </c>
      <c r="BJ23" s="2">
        <v>15054</v>
      </c>
      <c r="BK23" s="2">
        <v>4675</v>
      </c>
      <c r="BM23" s="4">
        <v>10</v>
      </c>
      <c r="BR23" s="4">
        <v>10</v>
      </c>
      <c r="BW23" s="4">
        <v>10</v>
      </c>
      <c r="BX23" s="2">
        <v>9105</v>
      </c>
      <c r="BY23" s="2">
        <v>14952</v>
      </c>
      <c r="BZ23" s="2">
        <v>4073</v>
      </c>
    </row>
    <row r="24" spans="4:78" x14ac:dyDescent="0.25">
      <c r="D24" t="s">
        <v>21</v>
      </c>
      <c r="E24" s="4">
        <v>11</v>
      </c>
      <c r="F24" s="2">
        <v>5501</v>
      </c>
      <c r="G24" s="2">
        <v>12634</v>
      </c>
      <c r="H24" s="2">
        <v>4225</v>
      </c>
      <c r="J24" s="4">
        <v>11</v>
      </c>
      <c r="K24" s="2">
        <v>12069</v>
      </c>
      <c r="L24" s="2">
        <v>18815</v>
      </c>
      <c r="M24" s="2">
        <v>5858</v>
      </c>
      <c r="O24" s="4">
        <v>11</v>
      </c>
      <c r="P24" s="2">
        <v>11536</v>
      </c>
      <c r="Q24" s="2">
        <v>16765</v>
      </c>
      <c r="R24" s="2">
        <v>5814</v>
      </c>
      <c r="T24" s="4">
        <v>11</v>
      </c>
      <c r="U24" s="2">
        <v>10919</v>
      </c>
      <c r="V24" s="2">
        <v>21214</v>
      </c>
      <c r="W24" s="2">
        <v>6155</v>
      </c>
      <c r="Y24" s="4">
        <v>11</v>
      </c>
      <c r="Z24" s="2">
        <v>11948</v>
      </c>
      <c r="AA24" s="2">
        <v>25601</v>
      </c>
      <c r="AB24" s="2">
        <v>6303</v>
      </c>
      <c r="AD24" s="4">
        <v>11</v>
      </c>
      <c r="AE24" s="2">
        <v>19317</v>
      </c>
      <c r="AF24" s="2">
        <v>32127</v>
      </c>
      <c r="AG24" s="2">
        <v>7721</v>
      </c>
      <c r="AI24" s="4">
        <v>11</v>
      </c>
      <c r="AJ24" s="2">
        <v>8986</v>
      </c>
      <c r="AK24" s="2">
        <v>17363</v>
      </c>
      <c r="AL24" s="2">
        <v>5111</v>
      </c>
      <c r="AN24" s="4">
        <v>11</v>
      </c>
      <c r="AO24" s="2">
        <v>13741</v>
      </c>
      <c r="AP24" s="2">
        <v>23031</v>
      </c>
      <c r="AQ24" s="2">
        <v>5318</v>
      </c>
      <c r="AS24" s="4">
        <v>11</v>
      </c>
      <c r="AT24" s="2">
        <v>15633</v>
      </c>
      <c r="AU24" s="2">
        <v>23639</v>
      </c>
      <c r="AV24" s="2">
        <v>6873</v>
      </c>
      <c r="AX24" s="4">
        <v>11</v>
      </c>
      <c r="AY24" s="3"/>
      <c r="AZ24" s="3"/>
      <c r="BA24" s="3"/>
      <c r="BC24" s="4">
        <v>11</v>
      </c>
      <c r="BH24" s="4">
        <v>11</v>
      </c>
      <c r="BI24" s="2">
        <v>30162</v>
      </c>
      <c r="BJ24" s="2">
        <v>28178</v>
      </c>
      <c r="BK24" s="2">
        <v>6843</v>
      </c>
      <c r="BM24" s="4">
        <v>11</v>
      </c>
      <c r="BR24" s="4">
        <v>11</v>
      </c>
      <c r="BW24" s="4">
        <v>11</v>
      </c>
      <c r="BX24" s="2">
        <v>14604</v>
      </c>
      <c r="BY24" s="2">
        <v>23369</v>
      </c>
      <c r="BZ24" s="2">
        <v>6178</v>
      </c>
    </row>
    <row r="25" spans="4:78" x14ac:dyDescent="0.25">
      <c r="D25" t="s">
        <v>22</v>
      </c>
      <c r="E25" s="4">
        <v>11</v>
      </c>
      <c r="F25" s="2">
        <v>2388</v>
      </c>
      <c r="G25" s="2">
        <v>6421</v>
      </c>
      <c r="H25" s="2">
        <v>2015</v>
      </c>
      <c r="J25" s="4">
        <v>11</v>
      </c>
      <c r="K25" s="2">
        <v>6668</v>
      </c>
      <c r="L25" s="2">
        <v>11501</v>
      </c>
      <c r="M25" s="2">
        <v>3290</v>
      </c>
      <c r="O25" s="4">
        <v>11</v>
      </c>
      <c r="P25" s="2">
        <v>8018</v>
      </c>
      <c r="Q25" s="2">
        <v>11962</v>
      </c>
      <c r="R25" s="2">
        <v>4038</v>
      </c>
      <c r="T25" s="4">
        <v>11</v>
      </c>
      <c r="U25" s="2">
        <v>8312</v>
      </c>
      <c r="V25" s="2">
        <v>12458</v>
      </c>
      <c r="W25" s="2">
        <v>3946</v>
      </c>
      <c r="Y25" s="4">
        <v>11</v>
      </c>
      <c r="Z25" s="2">
        <v>9276</v>
      </c>
      <c r="AA25" s="2">
        <v>16301</v>
      </c>
      <c r="AB25" s="2">
        <v>3487</v>
      </c>
      <c r="AD25" s="4">
        <v>11</v>
      </c>
      <c r="AE25" s="2">
        <v>10254</v>
      </c>
      <c r="AF25" s="2">
        <v>14964</v>
      </c>
      <c r="AG25" s="2">
        <v>3939</v>
      </c>
      <c r="AI25" s="4">
        <v>11</v>
      </c>
      <c r="AJ25" s="2">
        <v>7412</v>
      </c>
      <c r="AK25" s="2">
        <v>14496</v>
      </c>
      <c r="AL25" s="2">
        <v>4217</v>
      </c>
      <c r="AN25" s="4">
        <v>11</v>
      </c>
      <c r="AO25" s="2">
        <v>10878</v>
      </c>
      <c r="AP25" s="2">
        <v>14812</v>
      </c>
      <c r="AQ25" s="2">
        <v>4254</v>
      </c>
      <c r="AS25" s="4">
        <v>11</v>
      </c>
      <c r="AT25" s="2">
        <v>9747</v>
      </c>
      <c r="AU25" s="2">
        <v>16110</v>
      </c>
      <c r="AV25" s="2">
        <v>4309</v>
      </c>
      <c r="AX25" s="4">
        <v>11</v>
      </c>
      <c r="AY25" s="3"/>
      <c r="AZ25" s="3"/>
      <c r="BA25" s="3"/>
      <c r="BC25" s="4">
        <v>11</v>
      </c>
      <c r="BH25" s="4">
        <v>11</v>
      </c>
      <c r="BI25" s="2">
        <v>24831</v>
      </c>
      <c r="BJ25" s="2">
        <v>23753</v>
      </c>
      <c r="BK25" s="2">
        <v>6504</v>
      </c>
      <c r="BM25" s="4">
        <v>11</v>
      </c>
      <c r="BR25" s="4">
        <v>11</v>
      </c>
      <c r="BW25" s="4">
        <v>11</v>
      </c>
      <c r="BX25" s="2">
        <v>13246</v>
      </c>
      <c r="BY25" s="2">
        <v>17238</v>
      </c>
      <c r="BZ25" s="2">
        <v>4604</v>
      </c>
    </row>
    <row r="26" spans="4:78" x14ac:dyDescent="0.25">
      <c r="D26" t="s">
        <v>21</v>
      </c>
      <c r="E26" s="4">
        <v>12</v>
      </c>
      <c r="F26" s="43">
        <v>8735</v>
      </c>
      <c r="G26" s="43">
        <v>13979</v>
      </c>
      <c r="H26" s="43">
        <v>4071</v>
      </c>
      <c r="J26" s="4">
        <v>12</v>
      </c>
      <c r="K26" s="2">
        <v>7149</v>
      </c>
      <c r="L26" s="2">
        <v>13240</v>
      </c>
      <c r="M26" s="2">
        <v>3825</v>
      </c>
      <c r="O26" s="4">
        <v>12</v>
      </c>
      <c r="P26" s="2">
        <v>21985</v>
      </c>
      <c r="Q26" s="2">
        <v>25575</v>
      </c>
      <c r="R26" s="2">
        <v>6558</v>
      </c>
      <c r="T26" s="4">
        <v>12</v>
      </c>
      <c r="U26" s="2">
        <v>12908</v>
      </c>
      <c r="V26" s="2">
        <v>21678</v>
      </c>
      <c r="W26" s="2">
        <v>5844</v>
      </c>
      <c r="Y26" s="4">
        <v>12</v>
      </c>
      <c r="Z26" s="2">
        <v>12854</v>
      </c>
      <c r="AA26" s="2">
        <v>19185</v>
      </c>
      <c r="AB26" s="2">
        <v>5193</v>
      </c>
      <c r="AD26" s="4">
        <v>12</v>
      </c>
      <c r="AE26" s="2">
        <v>8327</v>
      </c>
      <c r="AF26" s="2">
        <v>17024</v>
      </c>
      <c r="AG26" s="2">
        <v>4943</v>
      </c>
      <c r="AI26" s="4">
        <v>12</v>
      </c>
      <c r="AJ26" s="2">
        <v>17632</v>
      </c>
      <c r="AK26" s="2">
        <v>20289</v>
      </c>
      <c r="AL26" s="2">
        <v>5690</v>
      </c>
      <c r="AN26" s="4">
        <v>12</v>
      </c>
      <c r="AO26" s="2">
        <v>10255</v>
      </c>
      <c r="AP26" s="2">
        <v>22304</v>
      </c>
      <c r="AQ26" s="2">
        <v>4468</v>
      </c>
      <c r="AS26" s="4">
        <v>12</v>
      </c>
      <c r="AT26" s="2">
        <v>13256</v>
      </c>
      <c r="AU26" s="2">
        <v>23800</v>
      </c>
      <c r="AV26" s="2">
        <v>6841</v>
      </c>
      <c r="AX26" s="4">
        <v>12</v>
      </c>
      <c r="AY26" s="2">
        <v>14601</v>
      </c>
      <c r="AZ26" s="2">
        <v>23384</v>
      </c>
      <c r="BA26" s="2">
        <v>6578</v>
      </c>
      <c r="BC26" s="4">
        <v>12</v>
      </c>
      <c r="BH26" s="4">
        <v>12</v>
      </c>
      <c r="BI26" s="2">
        <v>19857</v>
      </c>
      <c r="BJ26" s="2">
        <v>22494</v>
      </c>
      <c r="BK26" s="2">
        <v>6419</v>
      </c>
      <c r="BM26" s="4">
        <v>12</v>
      </c>
      <c r="BR26" s="4">
        <v>12</v>
      </c>
      <c r="BW26" s="4">
        <v>12</v>
      </c>
      <c r="BX26" s="2">
        <v>9904</v>
      </c>
      <c r="BY26" s="2">
        <v>16380</v>
      </c>
      <c r="BZ26" s="2">
        <v>5347</v>
      </c>
    </row>
    <row r="27" spans="4:78" x14ac:dyDescent="0.25">
      <c r="D27" t="s">
        <v>22</v>
      </c>
      <c r="E27" s="4">
        <v>12</v>
      </c>
      <c r="F27" s="43">
        <v>9171</v>
      </c>
      <c r="G27" s="43">
        <v>13170</v>
      </c>
      <c r="H27" s="43">
        <v>4084</v>
      </c>
      <c r="J27" s="4">
        <v>12</v>
      </c>
      <c r="K27" s="2">
        <v>5586</v>
      </c>
      <c r="L27" s="2">
        <v>13721</v>
      </c>
      <c r="M27" s="2">
        <v>3703</v>
      </c>
      <c r="O27" s="4">
        <v>12</v>
      </c>
      <c r="P27" s="2">
        <v>19724</v>
      </c>
      <c r="Q27" s="2">
        <v>23319</v>
      </c>
      <c r="R27" s="2">
        <v>5995</v>
      </c>
      <c r="T27" s="4">
        <v>12</v>
      </c>
      <c r="U27" s="2">
        <v>7118</v>
      </c>
      <c r="V27" s="2">
        <v>14772</v>
      </c>
      <c r="W27" s="2">
        <v>4042</v>
      </c>
      <c r="Y27" s="4">
        <v>12</v>
      </c>
      <c r="Z27" s="2">
        <v>10812</v>
      </c>
      <c r="AA27" s="2">
        <v>21754</v>
      </c>
      <c r="AB27" s="2">
        <v>5525</v>
      </c>
      <c r="AD27" s="4">
        <v>12</v>
      </c>
      <c r="AE27" s="2">
        <v>5902</v>
      </c>
      <c r="AF27" s="2">
        <v>13276</v>
      </c>
      <c r="AG27" s="2">
        <v>3301</v>
      </c>
      <c r="AI27" s="4">
        <v>12</v>
      </c>
      <c r="AJ27" s="2">
        <v>12831</v>
      </c>
      <c r="AK27" s="2">
        <v>19562</v>
      </c>
      <c r="AL27" s="2">
        <v>4866</v>
      </c>
      <c r="AN27" s="4">
        <v>12</v>
      </c>
      <c r="AO27" s="2">
        <v>10517</v>
      </c>
      <c r="AP27" s="2">
        <v>16076</v>
      </c>
      <c r="AQ27" s="2">
        <v>4104</v>
      </c>
      <c r="AS27" s="4">
        <v>12</v>
      </c>
      <c r="AT27" s="2">
        <v>9386</v>
      </c>
      <c r="AU27" s="2">
        <v>14158</v>
      </c>
      <c r="AV27" s="2">
        <v>4035</v>
      </c>
      <c r="AX27" s="4">
        <v>12</v>
      </c>
      <c r="AY27" s="2">
        <v>8856</v>
      </c>
      <c r="AZ27" s="2">
        <v>17780</v>
      </c>
      <c r="BA27" s="2">
        <v>4935</v>
      </c>
      <c r="BC27" s="4">
        <v>12</v>
      </c>
      <c r="BH27" s="4">
        <v>12</v>
      </c>
      <c r="BI27" s="2">
        <v>11002</v>
      </c>
      <c r="BJ27" s="2">
        <v>12965</v>
      </c>
      <c r="BK27" s="2">
        <v>4240</v>
      </c>
      <c r="BM27" s="4">
        <v>12</v>
      </c>
      <c r="BR27" s="4">
        <v>12</v>
      </c>
      <c r="BW27" s="4">
        <v>12</v>
      </c>
      <c r="BX27" s="2">
        <v>7023</v>
      </c>
      <c r="BY27" s="2">
        <v>12235</v>
      </c>
      <c r="BZ27" s="2">
        <v>3312</v>
      </c>
    </row>
    <row r="28" spans="4:78" x14ac:dyDescent="0.25">
      <c r="D28" t="s">
        <v>21</v>
      </c>
      <c r="E28" s="4">
        <v>13</v>
      </c>
      <c r="F28" s="2">
        <v>10774</v>
      </c>
      <c r="G28" s="2">
        <v>16561</v>
      </c>
      <c r="H28" s="2">
        <v>5051</v>
      </c>
      <c r="J28" s="4">
        <v>13</v>
      </c>
      <c r="K28" s="2">
        <v>6046</v>
      </c>
      <c r="L28" s="2">
        <v>11877</v>
      </c>
      <c r="M28" s="2">
        <v>3521</v>
      </c>
      <c r="O28" s="4">
        <v>13</v>
      </c>
      <c r="P28" s="2">
        <v>19567</v>
      </c>
      <c r="Q28" s="2">
        <v>24546</v>
      </c>
      <c r="R28" s="2">
        <v>6255</v>
      </c>
      <c r="T28" s="4">
        <v>13</v>
      </c>
      <c r="U28" s="2">
        <v>12003</v>
      </c>
      <c r="V28" s="2">
        <v>21039</v>
      </c>
      <c r="W28" s="2">
        <v>5659</v>
      </c>
      <c r="Y28" s="4">
        <v>13</v>
      </c>
      <c r="AD28" s="4">
        <v>13</v>
      </c>
      <c r="AE28" s="2">
        <v>12908</v>
      </c>
      <c r="AF28" s="2">
        <v>23489</v>
      </c>
      <c r="AG28" s="2">
        <v>5793</v>
      </c>
      <c r="AI28" s="4">
        <v>13</v>
      </c>
      <c r="AJ28" s="2">
        <v>14490</v>
      </c>
      <c r="AK28" s="2">
        <v>26302</v>
      </c>
      <c r="AL28" s="2">
        <v>7047</v>
      </c>
      <c r="AN28" s="4">
        <v>13</v>
      </c>
      <c r="AO28" s="2">
        <v>5965</v>
      </c>
      <c r="AP28" s="2">
        <v>13941</v>
      </c>
      <c r="AQ28" s="2">
        <v>5021</v>
      </c>
      <c r="AS28" s="4">
        <v>13</v>
      </c>
      <c r="AT28" s="2">
        <v>12597</v>
      </c>
      <c r="AU28" s="2">
        <v>21165</v>
      </c>
      <c r="AV28" s="2">
        <v>6332</v>
      </c>
      <c r="AX28" s="4">
        <v>13</v>
      </c>
      <c r="AY28" s="2">
        <v>15259</v>
      </c>
      <c r="AZ28" s="2">
        <v>21341</v>
      </c>
      <c r="BA28" s="2">
        <v>5776</v>
      </c>
      <c r="BC28" s="4">
        <v>13</v>
      </c>
      <c r="BH28" s="4">
        <v>13</v>
      </c>
      <c r="BI28" s="2">
        <v>39287</v>
      </c>
      <c r="BJ28" s="2">
        <v>35334</v>
      </c>
      <c r="BK28" s="2">
        <v>9615</v>
      </c>
      <c r="BM28" s="4">
        <v>13</v>
      </c>
      <c r="BR28" s="4">
        <v>13</v>
      </c>
      <c r="BW28" s="4">
        <v>13</v>
      </c>
    </row>
    <row r="29" spans="4:78" x14ac:dyDescent="0.25">
      <c r="D29" t="s">
        <v>22</v>
      </c>
      <c r="E29" s="4">
        <v>13</v>
      </c>
      <c r="F29" s="2">
        <v>7127</v>
      </c>
      <c r="G29" s="2">
        <v>13099</v>
      </c>
      <c r="H29" s="2">
        <v>3524</v>
      </c>
      <c r="J29" s="4">
        <v>13</v>
      </c>
      <c r="K29" s="2">
        <v>5393</v>
      </c>
      <c r="L29" s="2">
        <v>11601</v>
      </c>
      <c r="M29" s="2">
        <v>3424</v>
      </c>
      <c r="O29" s="4">
        <v>13</v>
      </c>
      <c r="P29" s="2">
        <v>14491</v>
      </c>
      <c r="Q29" s="2">
        <v>18417</v>
      </c>
      <c r="R29" s="2">
        <v>5309</v>
      </c>
      <c r="T29" s="4">
        <v>13</v>
      </c>
      <c r="U29" s="2">
        <v>10247</v>
      </c>
      <c r="V29" s="2">
        <v>17140</v>
      </c>
      <c r="W29" s="2">
        <v>4926</v>
      </c>
      <c r="Y29" s="4">
        <v>13</v>
      </c>
      <c r="AD29" s="4">
        <v>13</v>
      </c>
      <c r="AE29" s="2">
        <v>13319</v>
      </c>
      <c r="AF29" s="2">
        <v>19183</v>
      </c>
      <c r="AG29" s="2">
        <v>5525</v>
      </c>
      <c r="AI29" s="4">
        <v>13</v>
      </c>
      <c r="AJ29" s="2">
        <v>9744</v>
      </c>
      <c r="AK29" s="2">
        <v>16487</v>
      </c>
      <c r="AL29" s="2">
        <v>4266</v>
      </c>
      <c r="AN29" s="4">
        <v>13</v>
      </c>
      <c r="AO29" s="2">
        <v>3692</v>
      </c>
      <c r="AP29" s="2">
        <v>8663</v>
      </c>
      <c r="AQ29" s="2">
        <v>2533</v>
      </c>
      <c r="AS29" s="4">
        <v>13</v>
      </c>
      <c r="AT29" s="2">
        <v>7753</v>
      </c>
      <c r="AU29" s="2">
        <v>12260</v>
      </c>
      <c r="AV29" s="2">
        <v>3305</v>
      </c>
      <c r="AX29" s="4">
        <v>13</v>
      </c>
      <c r="AY29" s="2">
        <v>11535</v>
      </c>
      <c r="AZ29" s="2">
        <v>18578</v>
      </c>
      <c r="BA29" s="2">
        <v>5551</v>
      </c>
      <c r="BC29" s="4">
        <v>13</v>
      </c>
      <c r="BH29" s="4">
        <v>13</v>
      </c>
      <c r="BI29" s="2">
        <v>25824</v>
      </c>
      <c r="BJ29" s="2">
        <v>22010</v>
      </c>
      <c r="BK29" s="2">
        <v>7790</v>
      </c>
      <c r="BM29" s="4">
        <v>13</v>
      </c>
      <c r="BR29" s="4">
        <v>13</v>
      </c>
      <c r="BW29" s="4">
        <v>13</v>
      </c>
    </row>
    <row r="30" spans="4:78" x14ac:dyDescent="0.25">
      <c r="D30" t="s">
        <v>21</v>
      </c>
      <c r="E30" s="4">
        <v>14</v>
      </c>
      <c r="F30" s="2">
        <v>10946</v>
      </c>
      <c r="G30" s="2">
        <v>20837</v>
      </c>
      <c r="H30" s="2">
        <v>5163</v>
      </c>
      <c r="J30" s="4">
        <v>14</v>
      </c>
      <c r="K30" s="2">
        <v>9584</v>
      </c>
      <c r="L30" s="2">
        <v>15399</v>
      </c>
      <c r="M30" s="2">
        <v>5191</v>
      </c>
      <c r="O30" s="4">
        <v>14</v>
      </c>
      <c r="P30" s="2">
        <v>10266</v>
      </c>
      <c r="Q30" s="2">
        <v>16473</v>
      </c>
      <c r="R30" s="2">
        <v>5283</v>
      </c>
      <c r="T30" s="4">
        <v>14</v>
      </c>
      <c r="U30" s="2">
        <v>6300</v>
      </c>
      <c r="V30" s="2">
        <v>15618</v>
      </c>
      <c r="W30" s="2">
        <v>4727</v>
      </c>
      <c r="Y30" s="4">
        <v>14</v>
      </c>
      <c r="AD30" s="4">
        <v>14</v>
      </c>
      <c r="AE30" s="43">
        <v>4574</v>
      </c>
      <c r="AF30" s="43">
        <v>10078</v>
      </c>
      <c r="AG30" s="43">
        <v>3915</v>
      </c>
      <c r="AI30" s="4">
        <v>14</v>
      </c>
      <c r="AJ30" s="2">
        <v>10170</v>
      </c>
      <c r="AK30" s="2">
        <v>15012</v>
      </c>
      <c r="AL30" s="2">
        <v>4200</v>
      </c>
      <c r="AN30" s="4">
        <v>14</v>
      </c>
      <c r="AO30" s="2">
        <v>13852</v>
      </c>
      <c r="AP30" s="2">
        <v>24595</v>
      </c>
      <c r="AQ30" s="2">
        <v>5837</v>
      </c>
      <c r="AS30" s="4">
        <v>14</v>
      </c>
      <c r="AT30" s="2">
        <v>15087</v>
      </c>
      <c r="AU30" s="2">
        <v>26684</v>
      </c>
      <c r="AV30" s="2">
        <v>6440</v>
      </c>
      <c r="AX30" s="4">
        <v>14</v>
      </c>
      <c r="BC30" s="4">
        <v>14</v>
      </c>
      <c r="BH30" s="4">
        <v>14</v>
      </c>
      <c r="BI30" s="2">
        <v>18996</v>
      </c>
      <c r="BJ30" s="2">
        <v>22022</v>
      </c>
      <c r="BK30" s="2">
        <v>6533</v>
      </c>
      <c r="BM30" s="4">
        <v>14</v>
      </c>
      <c r="BR30" s="4">
        <v>14</v>
      </c>
      <c r="BW30" s="4">
        <v>14</v>
      </c>
    </row>
    <row r="31" spans="4:78" x14ac:dyDescent="0.25">
      <c r="D31" t="s">
        <v>22</v>
      </c>
      <c r="E31" s="4">
        <v>14</v>
      </c>
      <c r="F31" s="2">
        <v>7525</v>
      </c>
      <c r="G31" s="2">
        <v>13432</v>
      </c>
      <c r="H31" s="2">
        <v>3753</v>
      </c>
      <c r="J31" s="4">
        <v>14</v>
      </c>
      <c r="K31" s="2">
        <v>5249</v>
      </c>
      <c r="L31" s="2">
        <v>8822</v>
      </c>
      <c r="M31" s="2">
        <v>2748</v>
      </c>
      <c r="O31" s="4">
        <v>14</v>
      </c>
      <c r="P31" s="2">
        <v>7677</v>
      </c>
      <c r="Q31" s="2">
        <v>11954</v>
      </c>
      <c r="R31" s="2">
        <v>3257</v>
      </c>
      <c r="T31" s="4">
        <v>14</v>
      </c>
      <c r="U31" s="2">
        <v>4241</v>
      </c>
      <c r="V31" s="2">
        <v>11105</v>
      </c>
      <c r="W31" s="2">
        <v>3110</v>
      </c>
      <c r="Y31" s="4">
        <v>14</v>
      </c>
      <c r="AD31" s="4">
        <v>14</v>
      </c>
      <c r="AE31" s="43">
        <v>2906</v>
      </c>
      <c r="AF31" s="43">
        <v>6738</v>
      </c>
      <c r="AG31" s="43">
        <v>2148</v>
      </c>
      <c r="AI31" s="4">
        <v>14</v>
      </c>
      <c r="AJ31" s="2">
        <v>8414</v>
      </c>
      <c r="AK31" s="2">
        <v>13298</v>
      </c>
      <c r="AL31" s="2">
        <v>3990</v>
      </c>
      <c r="AN31" s="4">
        <v>14</v>
      </c>
      <c r="AO31" s="2">
        <v>12102</v>
      </c>
      <c r="AP31" s="2">
        <v>24122</v>
      </c>
      <c r="AQ31" s="2">
        <v>5480</v>
      </c>
      <c r="AS31" s="4">
        <v>14</v>
      </c>
      <c r="AT31" s="2">
        <v>13816</v>
      </c>
      <c r="AU31" s="2">
        <v>18503</v>
      </c>
      <c r="AV31" s="2">
        <v>4844</v>
      </c>
      <c r="AX31" s="4">
        <v>14</v>
      </c>
      <c r="BC31" s="4">
        <v>14</v>
      </c>
      <c r="BH31" s="4">
        <v>14</v>
      </c>
      <c r="BI31" s="2">
        <v>11709</v>
      </c>
      <c r="BJ31" s="2">
        <v>14733</v>
      </c>
      <c r="BK31" s="2">
        <v>4510</v>
      </c>
      <c r="BM31" s="4">
        <v>14</v>
      </c>
      <c r="BR31" s="4">
        <v>14</v>
      </c>
      <c r="BW31" s="4">
        <v>14</v>
      </c>
    </row>
    <row r="32" spans="4:78" x14ac:dyDescent="0.25">
      <c r="D32" t="s">
        <v>21</v>
      </c>
      <c r="E32" s="4">
        <v>15</v>
      </c>
      <c r="F32" s="2">
        <v>12160</v>
      </c>
      <c r="G32" s="2">
        <v>19524</v>
      </c>
      <c r="H32" s="2">
        <v>5875</v>
      </c>
      <c r="J32" s="4">
        <v>15</v>
      </c>
      <c r="K32" s="2">
        <v>14427</v>
      </c>
      <c r="L32" s="2">
        <v>22487</v>
      </c>
      <c r="M32" s="2">
        <v>5254</v>
      </c>
      <c r="O32" s="4">
        <v>15</v>
      </c>
      <c r="P32" s="2">
        <v>12897</v>
      </c>
      <c r="Q32" s="2">
        <v>22696</v>
      </c>
      <c r="R32" s="2">
        <v>6427</v>
      </c>
      <c r="T32" s="4">
        <v>15</v>
      </c>
      <c r="U32" s="2">
        <v>12438</v>
      </c>
      <c r="V32" s="2">
        <v>19784</v>
      </c>
      <c r="W32" s="2">
        <v>5386</v>
      </c>
      <c r="Y32" s="4">
        <v>15</v>
      </c>
      <c r="AD32" s="4">
        <v>15</v>
      </c>
      <c r="AE32" s="2">
        <v>7411</v>
      </c>
      <c r="AF32" s="2">
        <v>14713</v>
      </c>
      <c r="AG32" s="2">
        <v>4500</v>
      </c>
      <c r="AI32" s="4">
        <v>15</v>
      </c>
      <c r="AJ32" s="2">
        <v>10281</v>
      </c>
      <c r="AK32" s="2">
        <v>20126</v>
      </c>
      <c r="AL32" s="2">
        <v>5250</v>
      </c>
      <c r="AN32" s="4">
        <v>15</v>
      </c>
      <c r="AO32" s="2">
        <v>26855</v>
      </c>
      <c r="AP32" s="2">
        <v>36837</v>
      </c>
      <c r="AQ32" s="2">
        <v>9232</v>
      </c>
      <c r="AS32" s="4">
        <v>15</v>
      </c>
      <c r="AT32" s="2">
        <v>29517</v>
      </c>
      <c r="AU32" s="2">
        <v>38647</v>
      </c>
      <c r="AV32" s="2">
        <v>9080</v>
      </c>
      <c r="AX32" s="4">
        <v>15</v>
      </c>
      <c r="BC32" s="4">
        <v>15</v>
      </c>
      <c r="BH32" s="4">
        <v>15</v>
      </c>
      <c r="BI32" s="2">
        <v>20025</v>
      </c>
      <c r="BJ32" s="2">
        <v>19406</v>
      </c>
      <c r="BK32" s="2">
        <v>5756</v>
      </c>
      <c r="BM32" s="4">
        <v>15</v>
      </c>
      <c r="BR32" s="4">
        <v>15</v>
      </c>
      <c r="BW32" s="4">
        <v>15</v>
      </c>
    </row>
    <row r="33" spans="4:75" x14ac:dyDescent="0.25">
      <c r="D33" t="s">
        <v>22</v>
      </c>
      <c r="E33" s="4">
        <v>15</v>
      </c>
      <c r="F33" s="2">
        <v>9006</v>
      </c>
      <c r="G33" s="2">
        <v>14293</v>
      </c>
      <c r="H33" s="2">
        <v>4041</v>
      </c>
      <c r="J33" s="4">
        <v>15</v>
      </c>
      <c r="K33" s="2">
        <v>11707</v>
      </c>
      <c r="L33" s="2">
        <v>15904</v>
      </c>
      <c r="M33" s="2">
        <v>4764</v>
      </c>
      <c r="O33" s="4">
        <v>15</v>
      </c>
      <c r="P33" s="2">
        <v>8962</v>
      </c>
      <c r="Q33" s="2">
        <v>15069</v>
      </c>
      <c r="R33" s="2">
        <v>3901</v>
      </c>
      <c r="T33" s="4">
        <v>15</v>
      </c>
      <c r="U33" s="2">
        <v>12546</v>
      </c>
      <c r="V33" s="2">
        <v>17793</v>
      </c>
      <c r="W33" s="2">
        <v>4697</v>
      </c>
      <c r="Y33" s="4">
        <v>15</v>
      </c>
      <c r="AD33" s="4">
        <v>15</v>
      </c>
      <c r="AE33" s="2">
        <v>5827</v>
      </c>
      <c r="AF33" s="2">
        <v>11847</v>
      </c>
      <c r="AG33" s="2">
        <v>3305</v>
      </c>
      <c r="AI33" s="4">
        <v>15</v>
      </c>
      <c r="AJ33" s="2">
        <v>7627</v>
      </c>
      <c r="AK33" s="2">
        <v>15380</v>
      </c>
      <c r="AL33" s="2">
        <v>3943</v>
      </c>
      <c r="AN33" s="4">
        <v>15</v>
      </c>
      <c r="AO33" s="2">
        <v>15494</v>
      </c>
      <c r="AP33" s="2">
        <v>16379</v>
      </c>
      <c r="AQ33" s="2">
        <v>5566</v>
      </c>
      <c r="AS33" s="4">
        <v>15</v>
      </c>
      <c r="AT33" s="2">
        <v>18497</v>
      </c>
      <c r="AU33" s="2">
        <v>22162</v>
      </c>
      <c r="AV33" s="2">
        <v>6440</v>
      </c>
      <c r="AX33" s="4">
        <v>15</v>
      </c>
      <c r="BC33" s="4">
        <v>15</v>
      </c>
      <c r="BH33" s="4">
        <v>15</v>
      </c>
      <c r="BI33" s="2">
        <v>15336</v>
      </c>
      <c r="BJ33" s="2">
        <v>17147</v>
      </c>
      <c r="BK33" s="2">
        <v>5907</v>
      </c>
      <c r="BM33" s="4">
        <v>15</v>
      </c>
      <c r="BR33" s="4">
        <v>15</v>
      </c>
      <c r="BW33" s="4">
        <v>15</v>
      </c>
    </row>
    <row r="34" spans="4:75" x14ac:dyDescent="0.25">
      <c r="D34" t="s">
        <v>21</v>
      </c>
      <c r="E34" s="4">
        <v>16</v>
      </c>
      <c r="F34" s="43">
        <v>6519</v>
      </c>
      <c r="G34" s="43">
        <v>10647</v>
      </c>
      <c r="H34" s="43">
        <v>3620</v>
      </c>
      <c r="J34" s="4">
        <v>16</v>
      </c>
      <c r="K34" s="2">
        <v>15701</v>
      </c>
      <c r="L34" s="2">
        <v>24461</v>
      </c>
      <c r="M34" s="2">
        <v>6761</v>
      </c>
      <c r="O34" s="4">
        <v>16</v>
      </c>
      <c r="P34" s="2">
        <v>21348</v>
      </c>
      <c r="Q34" s="2">
        <v>24447</v>
      </c>
      <c r="R34" s="2">
        <v>6731</v>
      </c>
      <c r="T34" s="4">
        <v>16</v>
      </c>
      <c r="U34" s="2">
        <v>6002</v>
      </c>
      <c r="V34" s="2">
        <v>12222</v>
      </c>
      <c r="W34" s="2">
        <v>3810</v>
      </c>
      <c r="Y34" s="4">
        <v>16</v>
      </c>
      <c r="AD34" s="4">
        <v>16</v>
      </c>
      <c r="AE34" s="43">
        <v>3546</v>
      </c>
      <c r="AF34" s="43">
        <v>7744</v>
      </c>
      <c r="AG34" s="43">
        <v>2909</v>
      </c>
      <c r="AI34" s="4">
        <v>16</v>
      </c>
      <c r="AJ34" s="2">
        <v>9566</v>
      </c>
      <c r="AK34" s="2">
        <v>14117</v>
      </c>
      <c r="AL34" s="2">
        <v>4926</v>
      </c>
      <c r="AN34" s="4">
        <v>16</v>
      </c>
      <c r="AO34" s="2">
        <v>14668</v>
      </c>
      <c r="AP34" s="2">
        <v>25472</v>
      </c>
      <c r="AQ34" s="2">
        <v>7611</v>
      </c>
      <c r="AS34" s="4">
        <v>16</v>
      </c>
      <c r="AT34" s="2">
        <v>12023</v>
      </c>
      <c r="AU34" s="2">
        <v>20168</v>
      </c>
      <c r="AV34" s="2">
        <v>4846</v>
      </c>
      <c r="AX34" s="4">
        <v>16</v>
      </c>
      <c r="BC34" s="4">
        <v>16</v>
      </c>
      <c r="BH34" s="4">
        <v>16</v>
      </c>
      <c r="BI34" s="2">
        <v>36517</v>
      </c>
      <c r="BJ34" s="2">
        <v>38571</v>
      </c>
      <c r="BK34" s="2">
        <v>7681</v>
      </c>
      <c r="BM34" s="4">
        <v>16</v>
      </c>
      <c r="BR34" s="4">
        <v>16</v>
      </c>
      <c r="BW34" s="4">
        <v>16</v>
      </c>
    </row>
    <row r="35" spans="4:75" x14ac:dyDescent="0.25">
      <c r="D35" t="s">
        <v>22</v>
      </c>
      <c r="E35" s="4">
        <v>16</v>
      </c>
      <c r="F35" s="43">
        <v>4237</v>
      </c>
      <c r="G35" s="43">
        <v>7595</v>
      </c>
      <c r="H35" s="43">
        <v>1879</v>
      </c>
      <c r="J35" s="4">
        <v>16</v>
      </c>
      <c r="K35" s="2">
        <v>9342</v>
      </c>
      <c r="L35" s="2">
        <v>16754</v>
      </c>
      <c r="M35" s="2">
        <v>4325</v>
      </c>
      <c r="O35" s="4">
        <v>16</v>
      </c>
      <c r="P35" s="2">
        <v>17254</v>
      </c>
      <c r="Q35" s="2">
        <v>20346</v>
      </c>
      <c r="R35" s="2">
        <v>5775</v>
      </c>
      <c r="T35" s="4">
        <v>16</v>
      </c>
      <c r="U35" s="2">
        <v>4987</v>
      </c>
      <c r="V35" s="2">
        <v>9884</v>
      </c>
      <c r="W35" s="2">
        <v>2744</v>
      </c>
      <c r="Y35" s="4">
        <v>16</v>
      </c>
      <c r="AD35" s="4">
        <v>16</v>
      </c>
      <c r="AE35" s="43">
        <v>1703</v>
      </c>
      <c r="AF35" s="43">
        <v>5264</v>
      </c>
      <c r="AG35" s="43">
        <v>1682</v>
      </c>
      <c r="AI35" s="4">
        <v>16</v>
      </c>
      <c r="AJ35" s="2">
        <v>7898</v>
      </c>
      <c r="AK35" s="2">
        <v>11440</v>
      </c>
      <c r="AL35" s="2">
        <v>3486</v>
      </c>
      <c r="AN35" s="4">
        <v>16</v>
      </c>
      <c r="AO35" s="2">
        <v>7592</v>
      </c>
      <c r="AP35" s="2">
        <v>12532</v>
      </c>
      <c r="AQ35" s="2">
        <v>3638</v>
      </c>
      <c r="AS35" s="4">
        <v>16</v>
      </c>
      <c r="AT35" s="2">
        <v>8476</v>
      </c>
      <c r="AU35" s="2">
        <v>14153</v>
      </c>
      <c r="AV35" s="2">
        <v>4430</v>
      </c>
      <c r="AX35" s="4">
        <v>16</v>
      </c>
      <c r="BC35" s="4">
        <v>16</v>
      </c>
      <c r="BH35" s="4">
        <v>16</v>
      </c>
      <c r="BI35" s="2">
        <v>25740</v>
      </c>
      <c r="BJ35" s="2">
        <v>23250</v>
      </c>
      <c r="BK35" s="2">
        <v>7002</v>
      </c>
      <c r="BM35" s="4">
        <v>16</v>
      </c>
      <c r="BR35" s="4">
        <v>16</v>
      </c>
      <c r="BW35" s="4">
        <v>16</v>
      </c>
    </row>
    <row r="36" spans="4:75" x14ac:dyDescent="0.25">
      <c r="D36" t="s">
        <v>21</v>
      </c>
      <c r="E36" s="4">
        <v>17</v>
      </c>
      <c r="F36" s="2">
        <v>6643</v>
      </c>
      <c r="G36" s="2">
        <v>14708</v>
      </c>
      <c r="H36" s="2">
        <v>4587</v>
      </c>
      <c r="J36" s="4">
        <v>17</v>
      </c>
      <c r="K36" s="2">
        <v>5831</v>
      </c>
      <c r="L36" s="2">
        <v>12870</v>
      </c>
      <c r="M36" s="2">
        <v>4230</v>
      </c>
      <c r="O36" s="4">
        <v>17</v>
      </c>
      <c r="P36" s="2">
        <v>14756</v>
      </c>
      <c r="Q36" s="2">
        <v>20091</v>
      </c>
      <c r="R36" s="2">
        <v>5915</v>
      </c>
      <c r="T36" s="4">
        <v>17</v>
      </c>
      <c r="U36" s="2">
        <v>9648</v>
      </c>
      <c r="V36" s="2">
        <v>18593</v>
      </c>
      <c r="W36" s="2">
        <v>5812</v>
      </c>
      <c r="Y36" s="4">
        <v>17</v>
      </c>
      <c r="AD36" s="4">
        <v>17</v>
      </c>
      <c r="AE36" s="2">
        <v>5711</v>
      </c>
      <c r="AF36" s="2">
        <v>13848</v>
      </c>
      <c r="AG36" s="2">
        <v>4957</v>
      </c>
      <c r="AI36" s="4">
        <v>17</v>
      </c>
      <c r="AJ36" s="2">
        <v>10988</v>
      </c>
      <c r="AK36" s="2">
        <v>19342</v>
      </c>
      <c r="AL36" s="2">
        <v>5839</v>
      </c>
      <c r="AN36" s="4">
        <v>17</v>
      </c>
      <c r="AO36" s="2">
        <v>8926</v>
      </c>
      <c r="AP36" s="2">
        <v>18197</v>
      </c>
      <c r="AQ36" s="2">
        <v>5390</v>
      </c>
      <c r="AS36" s="4">
        <v>17</v>
      </c>
      <c r="AT36" s="2">
        <v>10871</v>
      </c>
      <c r="AU36" s="2">
        <v>21493</v>
      </c>
      <c r="AV36" s="2">
        <v>5517</v>
      </c>
      <c r="AX36" s="4">
        <v>17</v>
      </c>
      <c r="BC36" s="4">
        <v>17</v>
      </c>
      <c r="BH36" s="4">
        <v>17</v>
      </c>
      <c r="BI36" s="2">
        <v>16825</v>
      </c>
      <c r="BJ36" s="2">
        <v>22556</v>
      </c>
      <c r="BK36" s="2">
        <v>5461</v>
      </c>
      <c r="BM36" s="4">
        <v>17</v>
      </c>
      <c r="BR36" s="4">
        <v>17</v>
      </c>
      <c r="BW36" s="4">
        <v>17</v>
      </c>
    </row>
    <row r="37" spans="4:75" x14ac:dyDescent="0.25">
      <c r="D37" t="s">
        <v>22</v>
      </c>
      <c r="E37" s="4">
        <v>17</v>
      </c>
      <c r="F37" s="2">
        <v>4125</v>
      </c>
      <c r="G37" s="2">
        <v>9566</v>
      </c>
      <c r="H37" s="2">
        <v>2786</v>
      </c>
      <c r="J37" s="4">
        <v>17</v>
      </c>
      <c r="K37" s="2">
        <v>3514</v>
      </c>
      <c r="L37" s="2">
        <v>7890</v>
      </c>
      <c r="M37" s="2">
        <v>2042</v>
      </c>
      <c r="O37" s="4">
        <v>17</v>
      </c>
      <c r="P37" s="2">
        <v>14187</v>
      </c>
      <c r="Q37" s="2">
        <v>15337</v>
      </c>
      <c r="R37" s="2">
        <v>4967</v>
      </c>
      <c r="T37" s="4">
        <v>17</v>
      </c>
      <c r="U37" s="2">
        <v>4556</v>
      </c>
      <c r="V37" s="2">
        <v>9764</v>
      </c>
      <c r="W37" s="2">
        <v>3209</v>
      </c>
      <c r="Y37" s="4">
        <v>17</v>
      </c>
      <c r="AD37" s="4">
        <v>17</v>
      </c>
      <c r="AE37" s="2">
        <v>3190</v>
      </c>
      <c r="AF37" s="2">
        <v>7929</v>
      </c>
      <c r="AG37" s="2">
        <v>2071</v>
      </c>
      <c r="AI37" s="4">
        <v>17</v>
      </c>
      <c r="AJ37" s="2">
        <v>7563</v>
      </c>
      <c r="AK37" s="2">
        <v>12848</v>
      </c>
      <c r="AL37" s="2">
        <v>3552</v>
      </c>
      <c r="AN37" s="4">
        <v>17</v>
      </c>
      <c r="AO37" s="2">
        <v>7425</v>
      </c>
      <c r="AP37" s="2">
        <v>14014</v>
      </c>
      <c r="AQ37" s="2">
        <v>3791</v>
      </c>
      <c r="AS37" s="4">
        <v>17</v>
      </c>
      <c r="AT37" s="2">
        <v>9163</v>
      </c>
      <c r="AU37" s="2">
        <v>13634</v>
      </c>
      <c r="AV37" s="2">
        <v>4437</v>
      </c>
      <c r="AX37" s="4">
        <v>17</v>
      </c>
      <c r="BC37" s="4">
        <v>17</v>
      </c>
      <c r="BH37" s="4">
        <v>17</v>
      </c>
      <c r="BI37" s="2">
        <v>11221</v>
      </c>
      <c r="BJ37" s="2">
        <v>16823</v>
      </c>
      <c r="BK37" s="2">
        <v>5555</v>
      </c>
      <c r="BM37" s="4">
        <v>17</v>
      </c>
      <c r="BR37" s="4">
        <v>17</v>
      </c>
      <c r="BW37" s="4">
        <v>17</v>
      </c>
    </row>
    <row r="38" spans="4:75" x14ac:dyDescent="0.25">
      <c r="D38" t="s">
        <v>21</v>
      </c>
      <c r="E38" s="4">
        <v>18</v>
      </c>
      <c r="F38" s="2">
        <v>5441</v>
      </c>
      <c r="G38" s="2">
        <v>12233</v>
      </c>
      <c r="H38" s="2">
        <v>4193</v>
      </c>
      <c r="J38" s="4">
        <v>18</v>
      </c>
      <c r="K38" s="2">
        <v>8923</v>
      </c>
      <c r="L38" s="2">
        <v>14189</v>
      </c>
      <c r="M38" s="2">
        <v>4541</v>
      </c>
      <c r="O38" s="4">
        <v>18</v>
      </c>
      <c r="P38" s="2">
        <v>14120</v>
      </c>
      <c r="Q38" s="2">
        <v>21487</v>
      </c>
      <c r="R38" s="2">
        <v>6864</v>
      </c>
      <c r="T38" s="4">
        <v>18</v>
      </c>
      <c r="U38" s="2">
        <v>15150</v>
      </c>
      <c r="V38" s="2">
        <v>20235</v>
      </c>
      <c r="W38" s="2">
        <v>6340</v>
      </c>
      <c r="Y38" s="4">
        <v>18</v>
      </c>
      <c r="AD38" s="4">
        <v>18</v>
      </c>
      <c r="AE38" s="2">
        <v>3147</v>
      </c>
      <c r="AF38" s="2">
        <v>7781</v>
      </c>
      <c r="AG38" s="2">
        <v>2102</v>
      </c>
      <c r="AI38" s="4">
        <v>18</v>
      </c>
      <c r="AJ38" s="2">
        <v>12553</v>
      </c>
      <c r="AK38" s="2">
        <v>23642</v>
      </c>
      <c r="AL38" s="2">
        <v>6364</v>
      </c>
      <c r="AN38" s="4">
        <v>18</v>
      </c>
      <c r="AO38" s="2">
        <v>17090</v>
      </c>
      <c r="AP38" s="2">
        <v>21848</v>
      </c>
      <c r="AQ38" s="2">
        <v>6586</v>
      </c>
      <c r="AS38" s="4">
        <v>18</v>
      </c>
      <c r="AT38" s="2">
        <v>14991</v>
      </c>
      <c r="AU38" s="2">
        <v>23665</v>
      </c>
      <c r="AV38" s="2">
        <v>6489</v>
      </c>
      <c r="AX38" s="4">
        <v>18</v>
      </c>
      <c r="BC38" s="4">
        <v>18</v>
      </c>
      <c r="BH38" s="4">
        <v>18</v>
      </c>
      <c r="BI38" s="2">
        <v>15391</v>
      </c>
      <c r="BJ38" s="2">
        <v>21283</v>
      </c>
      <c r="BK38" s="2">
        <v>6438</v>
      </c>
      <c r="BM38" s="4">
        <v>18</v>
      </c>
      <c r="BR38" s="4">
        <v>18</v>
      </c>
      <c r="BW38" s="4">
        <v>18</v>
      </c>
    </row>
    <row r="39" spans="4:75" x14ac:dyDescent="0.25">
      <c r="D39" t="s">
        <v>22</v>
      </c>
      <c r="E39" s="4">
        <v>18</v>
      </c>
      <c r="F39" s="2">
        <v>3298</v>
      </c>
      <c r="G39" s="2">
        <v>7873</v>
      </c>
      <c r="H39" s="2">
        <v>2497</v>
      </c>
      <c r="J39" s="4">
        <v>18</v>
      </c>
      <c r="K39" s="2">
        <v>5190</v>
      </c>
      <c r="L39" s="2">
        <v>10433</v>
      </c>
      <c r="M39" s="2">
        <v>2316</v>
      </c>
      <c r="O39" s="4">
        <v>18</v>
      </c>
      <c r="P39" s="2">
        <v>14661</v>
      </c>
      <c r="Q39" s="2">
        <v>19138</v>
      </c>
      <c r="R39" s="2">
        <v>5068</v>
      </c>
      <c r="T39" s="4">
        <v>18</v>
      </c>
      <c r="U39" s="2">
        <v>10254</v>
      </c>
      <c r="V39" s="2">
        <v>13803</v>
      </c>
      <c r="W39" s="2">
        <v>4435</v>
      </c>
      <c r="Y39" s="4">
        <v>18</v>
      </c>
      <c r="AD39" s="4">
        <v>18</v>
      </c>
      <c r="AE39" s="2">
        <v>2597</v>
      </c>
      <c r="AF39" s="2">
        <v>7184</v>
      </c>
      <c r="AG39" s="2">
        <v>2016</v>
      </c>
      <c r="AI39" s="4">
        <v>18</v>
      </c>
      <c r="AJ39" s="2">
        <v>9715</v>
      </c>
      <c r="AK39" s="2">
        <v>14278</v>
      </c>
      <c r="AL39" s="2">
        <v>4144</v>
      </c>
      <c r="AN39" s="4">
        <v>18</v>
      </c>
      <c r="AO39" s="2">
        <v>8672</v>
      </c>
      <c r="AP39" s="2">
        <v>16675</v>
      </c>
      <c r="AQ39" s="2">
        <v>4260</v>
      </c>
      <c r="AS39" s="4">
        <v>18</v>
      </c>
      <c r="AT39" s="2">
        <v>11337</v>
      </c>
      <c r="AU39" s="2">
        <v>13777</v>
      </c>
      <c r="AV39" s="2">
        <v>4002</v>
      </c>
      <c r="AX39" s="4">
        <v>18</v>
      </c>
      <c r="BC39" s="4">
        <v>18</v>
      </c>
      <c r="BH39" s="4">
        <v>18</v>
      </c>
      <c r="BI39" s="2">
        <v>9777</v>
      </c>
      <c r="BJ39" s="2">
        <v>11904</v>
      </c>
      <c r="BK39" s="2">
        <v>3699</v>
      </c>
      <c r="BM39" s="4">
        <v>18</v>
      </c>
      <c r="BR39" s="4">
        <v>18</v>
      </c>
      <c r="BW39" s="4">
        <v>18</v>
      </c>
    </row>
    <row r="40" spans="4:75" x14ac:dyDescent="0.25">
      <c r="D40" t="s">
        <v>21</v>
      </c>
      <c r="E40" s="4">
        <v>19</v>
      </c>
      <c r="F40" s="2">
        <v>5720</v>
      </c>
      <c r="G40" s="2">
        <v>12303</v>
      </c>
      <c r="H40" s="2">
        <v>3879</v>
      </c>
      <c r="J40" s="4">
        <v>19</v>
      </c>
      <c r="K40" s="2">
        <v>6612</v>
      </c>
      <c r="L40" s="2">
        <v>12866</v>
      </c>
      <c r="M40" s="2">
        <v>3933</v>
      </c>
      <c r="O40" s="4">
        <v>19</v>
      </c>
      <c r="P40" s="2">
        <v>23153</v>
      </c>
      <c r="Q40" s="2">
        <v>28100</v>
      </c>
      <c r="R40" s="2">
        <v>8111</v>
      </c>
      <c r="T40" s="4">
        <v>19</v>
      </c>
      <c r="U40" s="2">
        <v>9646</v>
      </c>
      <c r="V40" s="2">
        <v>20193</v>
      </c>
      <c r="W40" s="2">
        <v>5473</v>
      </c>
      <c r="Y40" s="4">
        <v>19</v>
      </c>
      <c r="AD40" s="4">
        <v>19</v>
      </c>
      <c r="AE40" s="2">
        <v>4238</v>
      </c>
      <c r="AF40" s="2">
        <v>10546</v>
      </c>
      <c r="AG40" s="2">
        <v>3051</v>
      </c>
      <c r="AI40" s="4">
        <v>19</v>
      </c>
      <c r="AJ40" s="2">
        <v>10343</v>
      </c>
      <c r="AK40" s="2">
        <v>17442</v>
      </c>
      <c r="AL40" s="2">
        <v>5125</v>
      </c>
      <c r="AN40" s="4">
        <v>19</v>
      </c>
      <c r="AO40" s="2">
        <v>18903</v>
      </c>
      <c r="AP40" s="2">
        <v>28688</v>
      </c>
      <c r="AQ40" s="2">
        <v>6406</v>
      </c>
      <c r="AS40" s="4">
        <v>19</v>
      </c>
      <c r="AT40" s="2">
        <v>11758</v>
      </c>
      <c r="AU40" s="2">
        <v>20147</v>
      </c>
      <c r="AV40" s="2">
        <v>6089</v>
      </c>
      <c r="AX40" s="4">
        <v>19</v>
      </c>
      <c r="BC40" s="4">
        <v>19</v>
      </c>
      <c r="BH40" s="4">
        <v>19</v>
      </c>
      <c r="BI40" s="2">
        <v>10370</v>
      </c>
      <c r="BJ40" s="2">
        <v>15264</v>
      </c>
      <c r="BK40" s="2">
        <v>4562</v>
      </c>
      <c r="BM40" s="4">
        <v>19</v>
      </c>
      <c r="BR40" s="4">
        <v>19</v>
      </c>
      <c r="BW40" s="4">
        <v>19</v>
      </c>
    </row>
    <row r="41" spans="4:75" x14ac:dyDescent="0.25">
      <c r="D41" t="s">
        <v>22</v>
      </c>
      <c r="E41" s="4">
        <v>19</v>
      </c>
      <c r="F41" s="2">
        <v>1826</v>
      </c>
      <c r="G41" s="2">
        <v>5794</v>
      </c>
      <c r="H41" s="2">
        <v>2118</v>
      </c>
      <c r="J41" s="4">
        <v>19</v>
      </c>
      <c r="K41" s="2">
        <v>4925</v>
      </c>
      <c r="L41" s="2">
        <v>10638</v>
      </c>
      <c r="M41" s="2">
        <v>2777</v>
      </c>
      <c r="O41" s="4">
        <v>19</v>
      </c>
      <c r="P41" s="2">
        <v>15776</v>
      </c>
      <c r="Q41" s="2">
        <v>17149</v>
      </c>
      <c r="R41" s="2">
        <v>5139</v>
      </c>
      <c r="T41" s="4">
        <v>19</v>
      </c>
      <c r="U41" s="2">
        <v>8183</v>
      </c>
      <c r="V41" s="2">
        <v>13440</v>
      </c>
      <c r="W41" s="2">
        <v>3642</v>
      </c>
      <c r="Y41" s="4">
        <v>19</v>
      </c>
      <c r="AD41" s="4">
        <v>19</v>
      </c>
      <c r="AE41" s="2">
        <v>1889</v>
      </c>
      <c r="AF41" s="2">
        <v>6371</v>
      </c>
      <c r="AG41" s="2">
        <v>2111</v>
      </c>
      <c r="AI41" s="4">
        <v>19</v>
      </c>
      <c r="AJ41" s="2">
        <v>11745</v>
      </c>
      <c r="AK41" s="2">
        <v>17509</v>
      </c>
      <c r="AL41" s="2">
        <v>5203</v>
      </c>
      <c r="AN41" s="4">
        <v>19</v>
      </c>
      <c r="AO41" s="2">
        <v>17670</v>
      </c>
      <c r="AP41" s="2">
        <v>26978</v>
      </c>
      <c r="AQ41" s="2">
        <v>6451</v>
      </c>
      <c r="AS41" s="4">
        <v>19</v>
      </c>
      <c r="AT41" s="2">
        <v>8894</v>
      </c>
      <c r="AU41" s="2">
        <v>14405</v>
      </c>
      <c r="AV41" s="2">
        <v>3788</v>
      </c>
      <c r="AX41" s="4">
        <v>19</v>
      </c>
      <c r="BC41" s="4">
        <v>19</v>
      </c>
      <c r="BH41" s="4">
        <v>19</v>
      </c>
      <c r="BI41" s="2">
        <v>5676</v>
      </c>
      <c r="BJ41" s="2">
        <v>10389</v>
      </c>
      <c r="BK41" s="2">
        <v>4017</v>
      </c>
      <c r="BM41" s="4">
        <v>19</v>
      </c>
      <c r="BR41" s="4">
        <v>19</v>
      </c>
      <c r="BW41" s="4">
        <v>19</v>
      </c>
    </row>
    <row r="42" spans="4:75" x14ac:dyDescent="0.25">
      <c r="D42" t="s">
        <v>21</v>
      </c>
      <c r="E42" s="4">
        <v>20</v>
      </c>
      <c r="F42" s="3"/>
      <c r="G42" s="3"/>
      <c r="H42" s="3"/>
      <c r="J42" s="4">
        <v>20</v>
      </c>
      <c r="K42" s="18"/>
      <c r="L42" s="18"/>
      <c r="M42" s="19"/>
      <c r="O42" s="4">
        <v>20</v>
      </c>
      <c r="P42" s="2">
        <v>19776</v>
      </c>
      <c r="Q42" s="2">
        <v>24774</v>
      </c>
      <c r="R42" s="2">
        <v>5861</v>
      </c>
      <c r="T42" s="4">
        <v>20</v>
      </c>
      <c r="U42" s="2">
        <v>10830</v>
      </c>
      <c r="V42" s="2">
        <v>17903</v>
      </c>
      <c r="W42" s="2">
        <v>5633</v>
      </c>
      <c r="Y42" s="4">
        <v>20</v>
      </c>
      <c r="AD42" s="4">
        <v>20</v>
      </c>
      <c r="AE42" s="2">
        <v>9166</v>
      </c>
      <c r="AF42" s="2">
        <v>16334</v>
      </c>
      <c r="AG42" s="2">
        <v>4370</v>
      </c>
      <c r="AI42" s="4">
        <v>20</v>
      </c>
      <c r="AJ42" s="2">
        <v>5877</v>
      </c>
      <c r="AK42" s="2">
        <v>13574</v>
      </c>
      <c r="AL42" s="2">
        <v>4788</v>
      </c>
      <c r="AN42" s="4">
        <v>20</v>
      </c>
      <c r="AO42" s="2">
        <v>15187</v>
      </c>
      <c r="AP42" s="2">
        <v>22938</v>
      </c>
      <c r="AQ42" s="2">
        <v>6030</v>
      </c>
      <c r="AS42" s="4">
        <v>20</v>
      </c>
      <c r="AT42" s="2">
        <v>10794</v>
      </c>
      <c r="AU42" s="2">
        <v>22189</v>
      </c>
      <c r="AV42" s="2">
        <v>5884</v>
      </c>
      <c r="AX42" s="4">
        <v>20</v>
      </c>
      <c r="BC42" s="4">
        <v>20</v>
      </c>
      <c r="BH42" s="4">
        <v>20</v>
      </c>
      <c r="BI42" s="2">
        <v>12051</v>
      </c>
      <c r="BJ42" s="2">
        <v>15924</v>
      </c>
      <c r="BK42" s="2">
        <v>5211</v>
      </c>
      <c r="BM42" s="4">
        <v>20</v>
      </c>
      <c r="BR42" s="4">
        <v>20</v>
      </c>
      <c r="BW42" s="4">
        <v>20</v>
      </c>
    </row>
    <row r="43" spans="4:75" x14ac:dyDescent="0.25">
      <c r="D43" t="s">
        <v>22</v>
      </c>
      <c r="E43" s="4">
        <v>20</v>
      </c>
      <c r="F43" s="3"/>
      <c r="G43" s="3"/>
      <c r="H43" s="3"/>
      <c r="J43" s="4">
        <v>20</v>
      </c>
      <c r="K43" s="18"/>
      <c r="L43" s="18"/>
      <c r="M43" s="19"/>
      <c r="O43" s="4">
        <v>20</v>
      </c>
      <c r="P43" s="2">
        <v>18583</v>
      </c>
      <c r="Q43" s="2">
        <v>26419</v>
      </c>
      <c r="R43" s="2">
        <v>6336</v>
      </c>
      <c r="T43" s="4">
        <v>20</v>
      </c>
      <c r="U43" s="2">
        <v>9135</v>
      </c>
      <c r="V43" s="2">
        <v>12472</v>
      </c>
      <c r="W43" s="2">
        <v>3900</v>
      </c>
      <c r="Y43" s="4">
        <v>20</v>
      </c>
      <c r="AD43" s="4">
        <v>20</v>
      </c>
      <c r="AE43" s="2">
        <v>9244</v>
      </c>
      <c r="AF43" s="2">
        <v>16961</v>
      </c>
      <c r="AG43" s="2">
        <v>3918</v>
      </c>
      <c r="AI43" s="4">
        <v>20</v>
      </c>
      <c r="AJ43" s="2">
        <v>4411</v>
      </c>
      <c r="AK43" s="2">
        <v>8748</v>
      </c>
      <c r="AL43" s="2">
        <v>2826</v>
      </c>
      <c r="AN43" s="4">
        <v>20</v>
      </c>
      <c r="AO43" s="2">
        <v>9907</v>
      </c>
      <c r="AP43" s="2">
        <v>19032</v>
      </c>
      <c r="AQ43" s="2">
        <v>5144</v>
      </c>
      <c r="AS43" s="4">
        <v>20</v>
      </c>
      <c r="AT43" s="2">
        <v>8220</v>
      </c>
      <c r="AU43" s="2">
        <v>12532</v>
      </c>
      <c r="AV43" s="2">
        <v>3741</v>
      </c>
      <c r="AX43" s="4">
        <v>20</v>
      </c>
      <c r="BC43" s="4">
        <v>20</v>
      </c>
      <c r="BH43" s="4">
        <v>20</v>
      </c>
      <c r="BI43" s="2">
        <v>9282</v>
      </c>
      <c r="BJ43" s="2">
        <v>12601</v>
      </c>
      <c r="BK43" s="2">
        <v>4202</v>
      </c>
      <c r="BM43" s="4">
        <v>20</v>
      </c>
      <c r="BR43" s="4">
        <v>20</v>
      </c>
      <c r="BW43" s="4">
        <v>20</v>
      </c>
    </row>
  </sheetData>
  <autoFilter ref="D1:D43" xr:uid="{7A8F8FFB-612D-4149-9E94-B9B2562300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1F2B-DAD6-8F47-BCA4-70E4134DA247}">
  <dimension ref="A1:BZ752"/>
  <sheetViews>
    <sheetView zoomScale="63" workbookViewId="0">
      <selection activeCell="N46" sqref="N46"/>
    </sheetView>
  </sheetViews>
  <sheetFormatPr defaultColWidth="11" defaultRowHeight="15.75" x14ac:dyDescent="0.25"/>
  <cols>
    <col min="5" max="5" width="15.125" style="20" customWidth="1"/>
    <col min="8" max="8" width="15.375" style="21" customWidth="1"/>
    <col min="9" max="9" width="15.375" customWidth="1"/>
    <col min="10" max="10" width="15.125" style="20" customWidth="1"/>
    <col min="13" max="13" width="14.625" style="21" customWidth="1"/>
    <col min="14" max="14" width="14.625" customWidth="1"/>
    <col min="15" max="15" width="14.125" style="20" customWidth="1"/>
    <col min="18" max="18" width="14.625" style="21" customWidth="1"/>
    <col min="19" max="19" width="14.625" customWidth="1"/>
    <col min="20" max="20" width="13.625" style="20" customWidth="1"/>
    <col min="23" max="23" width="14.5" style="21" customWidth="1"/>
    <col min="24" max="24" width="14.5" customWidth="1"/>
    <col min="25" max="25" width="14" style="20" customWidth="1"/>
    <col min="28" max="28" width="14.375" style="21" customWidth="1"/>
    <col min="29" max="29" width="14.375" customWidth="1"/>
    <col min="30" max="30" width="14" style="20" customWidth="1"/>
    <col min="33" max="33" width="13.875" style="21" customWidth="1"/>
    <col min="34" max="34" width="13.875" customWidth="1"/>
    <col min="35" max="35" width="13.625" style="20" customWidth="1"/>
    <col min="38" max="38" width="14.625" style="21" customWidth="1"/>
    <col min="39" max="39" width="14.625" customWidth="1"/>
    <col min="40" max="40" width="12.625" style="20" customWidth="1"/>
    <col min="43" max="43" width="12.5" style="21" customWidth="1"/>
    <col min="44" max="44" width="12.5" customWidth="1"/>
    <col min="45" max="45" width="13" style="20" customWidth="1"/>
    <col min="48" max="48" width="13.625" style="21" customWidth="1"/>
    <col min="49" max="49" width="13.625" customWidth="1"/>
    <col min="50" max="50" width="14.375" style="20" customWidth="1"/>
    <col min="53" max="53" width="13.375" style="21" customWidth="1"/>
    <col min="54" max="54" width="13.375" customWidth="1"/>
    <col min="55" max="55" width="13.5" style="20" customWidth="1"/>
    <col min="58" max="58" width="12.875" style="21" customWidth="1"/>
    <col min="59" max="59" width="12.875" customWidth="1"/>
    <col min="60" max="60" width="13.125" style="20" customWidth="1"/>
    <col min="63" max="63" width="14" style="21" customWidth="1"/>
    <col min="64" max="64" width="14" customWidth="1"/>
    <col min="65" max="65" width="14" style="20" customWidth="1"/>
    <col min="68" max="68" width="13.5" style="21" customWidth="1"/>
    <col min="69" max="69" width="13.5" customWidth="1"/>
    <col min="70" max="70" width="14.375" style="20" customWidth="1"/>
    <col min="73" max="73" width="12.5" style="21" customWidth="1"/>
    <col min="74" max="74" width="12.5" customWidth="1"/>
    <col min="75" max="75" width="13.875" style="20" customWidth="1"/>
    <col min="78" max="78" width="15" style="21" customWidth="1"/>
  </cols>
  <sheetData>
    <row r="1" spans="1:78" s="23" customFormat="1" ht="23.25" x14ac:dyDescent="0.35">
      <c r="A1" s="57" t="s">
        <v>27</v>
      </c>
      <c r="B1" s="57"/>
      <c r="E1" s="24" t="s">
        <v>0</v>
      </c>
      <c r="F1" s="25"/>
      <c r="G1" s="25"/>
      <c r="H1" s="26"/>
      <c r="I1" s="44"/>
      <c r="J1" s="27" t="s">
        <v>5</v>
      </c>
      <c r="K1" s="28"/>
      <c r="L1" s="28"/>
      <c r="M1" s="29"/>
      <c r="N1" s="46"/>
      <c r="O1" s="27" t="s">
        <v>6</v>
      </c>
      <c r="P1" s="28"/>
      <c r="Q1" s="28"/>
      <c r="R1" s="29"/>
      <c r="S1" s="47"/>
      <c r="T1" s="30" t="s">
        <v>7</v>
      </c>
      <c r="U1" s="31"/>
      <c r="V1" s="31"/>
      <c r="W1" s="32"/>
      <c r="X1" s="47"/>
      <c r="Y1" s="27" t="s">
        <v>8</v>
      </c>
      <c r="Z1" s="28"/>
      <c r="AA1" s="28"/>
      <c r="AB1" s="29"/>
      <c r="AC1" s="46"/>
      <c r="AD1" s="27" t="s">
        <v>9</v>
      </c>
      <c r="AE1" s="28"/>
      <c r="AF1" s="28"/>
      <c r="AG1" s="29"/>
      <c r="AH1" s="46"/>
      <c r="AI1" s="27" t="s">
        <v>10</v>
      </c>
      <c r="AJ1" s="28"/>
      <c r="AK1" s="28"/>
      <c r="AL1" s="29"/>
      <c r="AM1" s="46"/>
      <c r="AN1" s="27" t="s">
        <v>11</v>
      </c>
      <c r="AO1" s="28"/>
      <c r="AP1" s="28"/>
      <c r="AQ1" s="29"/>
      <c r="AR1" s="46"/>
      <c r="AS1" s="33" t="s">
        <v>12</v>
      </c>
      <c r="AT1" s="34"/>
      <c r="AU1" s="34"/>
      <c r="AV1" s="35"/>
      <c r="AW1" s="48"/>
      <c r="AX1" s="27" t="s">
        <v>13</v>
      </c>
      <c r="AY1" s="28"/>
      <c r="AZ1" s="28"/>
      <c r="BA1" s="29"/>
      <c r="BB1" s="46"/>
      <c r="BC1" s="36" t="s">
        <v>20</v>
      </c>
      <c r="BD1" s="37"/>
      <c r="BE1" s="37"/>
      <c r="BF1" s="38"/>
      <c r="BG1" s="49"/>
      <c r="BH1" s="27" t="s">
        <v>14</v>
      </c>
      <c r="BI1" s="28"/>
      <c r="BJ1" s="28"/>
      <c r="BK1" s="29"/>
      <c r="BL1" s="46"/>
      <c r="BM1" s="27" t="s">
        <v>15</v>
      </c>
      <c r="BN1" s="28"/>
      <c r="BO1" s="28"/>
      <c r="BP1" s="29"/>
      <c r="BQ1" s="47"/>
      <c r="BR1" s="30" t="s">
        <v>16</v>
      </c>
      <c r="BS1" s="31"/>
      <c r="BT1" s="31"/>
      <c r="BU1" s="32"/>
      <c r="BV1" s="47"/>
      <c r="BW1" s="27" t="s">
        <v>17</v>
      </c>
      <c r="BX1" s="28"/>
      <c r="BY1" s="28"/>
      <c r="BZ1" s="29"/>
    </row>
    <row r="2" spans="1:78" x14ac:dyDescent="0.25">
      <c r="A2" s="58" t="s">
        <v>26</v>
      </c>
      <c r="B2" s="58"/>
      <c r="D2" t="s">
        <v>23</v>
      </c>
      <c r="E2" s="15" t="s">
        <v>1</v>
      </c>
      <c r="F2" s="1" t="s">
        <v>2</v>
      </c>
      <c r="G2" s="1" t="s">
        <v>3</v>
      </c>
      <c r="H2" s="16" t="s">
        <v>4</v>
      </c>
      <c r="I2" s="45"/>
      <c r="J2" s="15" t="s">
        <v>1</v>
      </c>
      <c r="K2" s="1" t="s">
        <v>2</v>
      </c>
      <c r="L2" s="1" t="s">
        <v>3</v>
      </c>
      <c r="M2" s="16" t="s">
        <v>4</v>
      </c>
      <c r="N2" s="45"/>
      <c r="O2" s="15" t="s">
        <v>1</v>
      </c>
      <c r="P2" s="1" t="s">
        <v>2</v>
      </c>
      <c r="Q2" s="1" t="s">
        <v>3</v>
      </c>
      <c r="R2" s="16" t="s">
        <v>4</v>
      </c>
      <c r="S2" s="45"/>
      <c r="T2" s="15" t="s">
        <v>1</v>
      </c>
      <c r="U2" s="1" t="s">
        <v>2</v>
      </c>
      <c r="V2" s="1" t="s">
        <v>3</v>
      </c>
      <c r="W2" s="16" t="s">
        <v>4</v>
      </c>
      <c r="X2" s="45"/>
      <c r="Y2" s="15" t="s">
        <v>1</v>
      </c>
      <c r="Z2" s="1" t="s">
        <v>2</v>
      </c>
      <c r="AA2" s="1" t="s">
        <v>3</v>
      </c>
      <c r="AB2" s="16" t="s">
        <v>4</v>
      </c>
      <c r="AC2" s="45"/>
      <c r="AD2" s="15" t="s">
        <v>1</v>
      </c>
      <c r="AE2" s="1" t="s">
        <v>2</v>
      </c>
      <c r="AF2" s="1" t="s">
        <v>3</v>
      </c>
      <c r="AG2" s="16" t="s">
        <v>4</v>
      </c>
      <c r="AH2" s="45"/>
      <c r="AI2" s="15" t="s">
        <v>1</v>
      </c>
      <c r="AJ2" s="1" t="s">
        <v>2</v>
      </c>
      <c r="AK2" s="1" t="s">
        <v>3</v>
      </c>
      <c r="AL2" s="16" t="s">
        <v>4</v>
      </c>
      <c r="AM2" s="45"/>
      <c r="AN2" s="15" t="s">
        <v>1</v>
      </c>
      <c r="AO2" s="1" t="s">
        <v>2</v>
      </c>
      <c r="AP2" s="1" t="s">
        <v>3</v>
      </c>
      <c r="AQ2" s="16" t="s">
        <v>4</v>
      </c>
      <c r="AR2" s="45"/>
      <c r="AS2" s="15" t="s">
        <v>1</v>
      </c>
      <c r="AT2" s="1" t="s">
        <v>2</v>
      </c>
      <c r="AU2" s="1" t="s">
        <v>3</v>
      </c>
      <c r="AV2" s="16" t="s">
        <v>4</v>
      </c>
      <c r="AW2" s="45"/>
      <c r="AX2" s="15" t="s">
        <v>1</v>
      </c>
      <c r="AY2" s="1" t="s">
        <v>2</v>
      </c>
      <c r="AZ2" s="1" t="s">
        <v>3</v>
      </c>
      <c r="BA2" s="16" t="s">
        <v>4</v>
      </c>
      <c r="BB2" s="45"/>
      <c r="BC2" s="15" t="s">
        <v>1</v>
      </c>
      <c r="BD2" s="1" t="s">
        <v>2</v>
      </c>
      <c r="BE2" s="1" t="s">
        <v>3</v>
      </c>
      <c r="BF2" s="16" t="s">
        <v>4</v>
      </c>
      <c r="BG2" s="45"/>
      <c r="BH2" s="15" t="s">
        <v>1</v>
      </c>
      <c r="BI2" s="1" t="s">
        <v>2</v>
      </c>
      <c r="BJ2" s="1" t="s">
        <v>3</v>
      </c>
      <c r="BK2" s="16" t="s">
        <v>4</v>
      </c>
      <c r="BL2" s="45"/>
      <c r="BM2" s="15" t="s">
        <v>1</v>
      </c>
      <c r="BN2" s="1" t="s">
        <v>2</v>
      </c>
      <c r="BO2" s="1" t="s">
        <v>3</v>
      </c>
      <c r="BP2" s="16" t="s">
        <v>4</v>
      </c>
      <c r="BQ2" s="45"/>
      <c r="BR2" s="15" t="s">
        <v>1</v>
      </c>
      <c r="BS2" s="1" t="s">
        <v>2</v>
      </c>
      <c r="BT2" s="1" t="s">
        <v>3</v>
      </c>
      <c r="BU2" s="16" t="s">
        <v>4</v>
      </c>
      <c r="BV2" s="45"/>
      <c r="BW2" s="15" t="s">
        <v>1</v>
      </c>
      <c r="BX2" s="1" t="s">
        <v>2</v>
      </c>
      <c r="BY2" s="1" t="s">
        <v>3</v>
      </c>
      <c r="BZ2" s="16" t="s">
        <v>4</v>
      </c>
    </row>
    <row r="3" spans="1:78" ht="15" customHeight="1" x14ac:dyDescent="0.25">
      <c r="A3" s="59" t="s">
        <v>28</v>
      </c>
      <c r="B3" s="59"/>
      <c r="D3" t="s">
        <v>21</v>
      </c>
      <c r="E3" s="4">
        <v>1</v>
      </c>
      <c r="F3" s="2">
        <v>9858</v>
      </c>
      <c r="G3" s="2">
        <v>17790</v>
      </c>
      <c r="H3" s="17">
        <v>4883</v>
      </c>
      <c r="I3" s="2"/>
      <c r="J3" s="4">
        <v>1</v>
      </c>
      <c r="K3" s="2">
        <v>60537</v>
      </c>
      <c r="L3" s="2">
        <v>53065</v>
      </c>
      <c r="M3" s="17">
        <v>10285</v>
      </c>
      <c r="N3" s="2"/>
      <c r="O3" s="4">
        <v>1</v>
      </c>
      <c r="P3" s="2">
        <v>23710</v>
      </c>
      <c r="Q3" s="2">
        <v>30579</v>
      </c>
      <c r="R3" s="17">
        <v>8869</v>
      </c>
      <c r="S3" s="2"/>
      <c r="T3" s="4">
        <v>1</v>
      </c>
      <c r="U3" s="2">
        <v>38924</v>
      </c>
      <c r="V3" s="2">
        <v>44780</v>
      </c>
      <c r="W3" s="17">
        <v>8988</v>
      </c>
      <c r="X3" s="2"/>
      <c r="Y3" s="4">
        <v>1</v>
      </c>
      <c r="Z3" s="2">
        <v>24512</v>
      </c>
      <c r="AA3" s="2">
        <v>39706</v>
      </c>
      <c r="AB3" s="17">
        <v>6671</v>
      </c>
      <c r="AC3" s="2"/>
      <c r="AD3" s="4">
        <v>1</v>
      </c>
      <c r="AE3" s="2">
        <v>31817</v>
      </c>
      <c r="AF3" s="2">
        <v>45118</v>
      </c>
      <c r="AG3" s="17">
        <v>8750</v>
      </c>
      <c r="AH3" s="2"/>
      <c r="AI3" s="4">
        <v>1</v>
      </c>
      <c r="AJ3" s="2">
        <v>40722</v>
      </c>
      <c r="AK3" s="2">
        <v>42591</v>
      </c>
      <c r="AL3" s="17">
        <v>7808</v>
      </c>
      <c r="AM3" s="2"/>
      <c r="AN3" s="4">
        <v>1</v>
      </c>
      <c r="AO3" s="2">
        <v>35780</v>
      </c>
      <c r="AP3" s="2">
        <v>40233</v>
      </c>
      <c r="AQ3" s="17">
        <v>8357</v>
      </c>
      <c r="AR3" s="2"/>
      <c r="AS3" s="4">
        <v>1</v>
      </c>
      <c r="AT3" s="2">
        <v>44131</v>
      </c>
      <c r="AU3" s="2">
        <v>59057</v>
      </c>
      <c r="AV3" s="17">
        <v>10251</v>
      </c>
      <c r="AW3" s="2"/>
      <c r="AX3" s="4">
        <v>1</v>
      </c>
      <c r="AY3" s="2">
        <v>21454</v>
      </c>
      <c r="AZ3" s="2">
        <v>27137</v>
      </c>
      <c r="BA3" s="17">
        <v>6785</v>
      </c>
      <c r="BB3" s="2"/>
      <c r="BC3" s="4">
        <v>1</v>
      </c>
      <c r="BD3" s="2">
        <v>13180</v>
      </c>
      <c r="BE3" s="2">
        <v>18071</v>
      </c>
      <c r="BF3" s="17">
        <v>4921</v>
      </c>
      <c r="BG3" s="2"/>
      <c r="BH3" s="4">
        <v>1</v>
      </c>
      <c r="BI3" s="2">
        <v>68095</v>
      </c>
      <c r="BJ3" s="2">
        <v>56380</v>
      </c>
      <c r="BK3" s="17">
        <v>11522</v>
      </c>
      <c r="BL3" s="2"/>
      <c r="BM3" s="4">
        <v>1</v>
      </c>
      <c r="BN3" s="18"/>
      <c r="BO3" s="18"/>
      <c r="BP3" s="19"/>
      <c r="BQ3" s="2"/>
      <c r="BR3" s="4">
        <v>1</v>
      </c>
      <c r="BS3" s="2">
        <v>25904</v>
      </c>
      <c r="BT3" s="2">
        <v>24770</v>
      </c>
      <c r="BU3" s="17">
        <v>6953</v>
      </c>
      <c r="BV3" s="2"/>
      <c r="BW3" s="4">
        <v>1</v>
      </c>
      <c r="BX3" s="2">
        <v>24792</v>
      </c>
      <c r="BY3" s="2">
        <v>27909</v>
      </c>
      <c r="BZ3" s="17">
        <v>7626</v>
      </c>
    </row>
    <row r="4" spans="1:78" ht="15" customHeight="1" x14ac:dyDescent="0.25">
      <c r="D4" t="s">
        <v>22</v>
      </c>
      <c r="E4" s="4">
        <v>1</v>
      </c>
      <c r="F4" s="2">
        <v>7056</v>
      </c>
      <c r="G4" s="2">
        <v>16993</v>
      </c>
      <c r="H4" s="17">
        <v>3612</v>
      </c>
      <c r="I4" s="2"/>
      <c r="J4" s="4">
        <v>1</v>
      </c>
      <c r="K4" s="2">
        <v>52421</v>
      </c>
      <c r="L4" s="2">
        <v>50885</v>
      </c>
      <c r="M4" s="17">
        <v>9905</v>
      </c>
      <c r="N4" s="2"/>
      <c r="O4" s="4">
        <v>1</v>
      </c>
      <c r="P4" s="53"/>
      <c r="Q4" s="53"/>
      <c r="R4" s="54"/>
      <c r="S4" s="2"/>
      <c r="T4" s="4">
        <v>1</v>
      </c>
      <c r="U4" s="2">
        <v>32655</v>
      </c>
      <c r="V4" s="2">
        <v>28818</v>
      </c>
      <c r="W4" s="17">
        <v>6972</v>
      </c>
      <c r="X4" s="2"/>
      <c r="Y4" s="4">
        <v>1</v>
      </c>
      <c r="Z4" s="2">
        <v>19534</v>
      </c>
      <c r="AA4" s="2">
        <v>26101</v>
      </c>
      <c r="AB4" s="17">
        <v>6268</v>
      </c>
      <c r="AC4" s="2"/>
      <c r="AD4" s="4">
        <v>1</v>
      </c>
      <c r="AE4" s="2">
        <v>25814</v>
      </c>
      <c r="AF4" s="2">
        <v>39174</v>
      </c>
      <c r="AG4" s="17">
        <v>6719</v>
      </c>
      <c r="AH4" s="2"/>
      <c r="AI4" s="4">
        <v>1</v>
      </c>
      <c r="AJ4" s="2">
        <v>37871</v>
      </c>
      <c r="AK4" s="2">
        <v>31520</v>
      </c>
      <c r="AL4" s="17">
        <v>7303</v>
      </c>
      <c r="AM4" s="2"/>
      <c r="AN4" s="4">
        <v>1</v>
      </c>
      <c r="AO4" s="2">
        <v>37787</v>
      </c>
      <c r="AP4" s="2">
        <v>38828</v>
      </c>
      <c r="AQ4" s="17">
        <v>8588</v>
      </c>
      <c r="AR4" s="2"/>
      <c r="AS4" s="4">
        <v>1</v>
      </c>
      <c r="AT4" s="2">
        <v>34118</v>
      </c>
      <c r="AU4" s="2">
        <v>29992</v>
      </c>
      <c r="AV4" s="17">
        <v>7023</v>
      </c>
      <c r="AW4" s="2"/>
      <c r="AX4" s="4">
        <v>1</v>
      </c>
      <c r="AY4" s="2">
        <v>16895</v>
      </c>
      <c r="AZ4" s="2">
        <v>24349</v>
      </c>
      <c r="BA4" s="17">
        <v>5921</v>
      </c>
      <c r="BB4" s="2"/>
      <c r="BC4" s="4">
        <v>1</v>
      </c>
      <c r="BD4" s="2">
        <v>8333</v>
      </c>
      <c r="BE4" s="2">
        <v>13554</v>
      </c>
      <c r="BF4" s="17">
        <v>4369</v>
      </c>
      <c r="BG4" s="2"/>
      <c r="BH4" s="4">
        <v>1</v>
      </c>
      <c r="BI4" s="2">
        <v>53451</v>
      </c>
      <c r="BJ4" s="2">
        <v>37139</v>
      </c>
      <c r="BK4" s="17">
        <v>9421</v>
      </c>
      <c r="BL4" s="2"/>
      <c r="BM4" s="4">
        <v>1</v>
      </c>
      <c r="BN4" s="18"/>
      <c r="BO4" s="18"/>
      <c r="BP4" s="19"/>
      <c r="BQ4" s="2"/>
      <c r="BR4" s="4">
        <v>1</v>
      </c>
      <c r="BS4" s="2">
        <v>19588</v>
      </c>
      <c r="BT4" s="2">
        <v>20873</v>
      </c>
      <c r="BU4" s="17">
        <v>6434</v>
      </c>
      <c r="BV4" s="2"/>
      <c r="BW4" s="4">
        <v>1</v>
      </c>
      <c r="BX4" s="2">
        <v>18307</v>
      </c>
      <c r="BY4" s="2">
        <v>19902</v>
      </c>
      <c r="BZ4" s="17">
        <v>5330</v>
      </c>
    </row>
    <row r="5" spans="1:78" ht="15" customHeight="1" x14ac:dyDescent="0.25">
      <c r="D5" t="s">
        <v>21</v>
      </c>
      <c r="E5" s="4">
        <v>2</v>
      </c>
      <c r="F5" s="2">
        <v>15341</v>
      </c>
      <c r="G5" s="2">
        <v>25072</v>
      </c>
      <c r="H5" s="17">
        <v>5892</v>
      </c>
      <c r="I5" s="2"/>
      <c r="J5" s="4">
        <v>2</v>
      </c>
      <c r="K5" s="2">
        <v>26160</v>
      </c>
      <c r="L5" s="2">
        <v>36248</v>
      </c>
      <c r="M5" s="17">
        <v>7727</v>
      </c>
      <c r="N5" s="2"/>
      <c r="O5" s="4">
        <v>2</v>
      </c>
      <c r="P5" s="2">
        <v>41898</v>
      </c>
      <c r="Q5" s="2">
        <v>48110</v>
      </c>
      <c r="R5" s="17">
        <v>9414</v>
      </c>
      <c r="S5" s="2"/>
      <c r="T5" s="4">
        <v>2</v>
      </c>
      <c r="U5" s="2">
        <v>34569</v>
      </c>
      <c r="V5" s="2">
        <v>37513</v>
      </c>
      <c r="W5" s="17">
        <v>8086</v>
      </c>
      <c r="X5" s="2"/>
      <c r="Y5" s="4">
        <v>2</v>
      </c>
      <c r="Z5" s="2">
        <v>20596</v>
      </c>
      <c r="AA5" s="2">
        <v>24364</v>
      </c>
      <c r="AB5" s="17">
        <v>6339</v>
      </c>
      <c r="AC5" s="2"/>
      <c r="AD5" s="4">
        <v>2</v>
      </c>
      <c r="AE5" s="2">
        <v>26950</v>
      </c>
      <c r="AF5" s="2">
        <v>37918</v>
      </c>
      <c r="AG5" s="17">
        <v>8027</v>
      </c>
      <c r="AH5" s="2"/>
      <c r="AI5" s="4">
        <v>2</v>
      </c>
      <c r="AJ5" s="2">
        <v>5459</v>
      </c>
      <c r="AK5" s="2">
        <v>9187</v>
      </c>
      <c r="AL5" s="17">
        <v>2835</v>
      </c>
      <c r="AM5" s="2"/>
      <c r="AN5" s="4">
        <v>2</v>
      </c>
      <c r="AO5" s="2">
        <v>81367</v>
      </c>
      <c r="AP5" s="2">
        <v>84442</v>
      </c>
      <c r="AQ5" s="17">
        <v>11239</v>
      </c>
      <c r="AR5" s="2"/>
      <c r="AS5" s="4">
        <v>2</v>
      </c>
      <c r="AT5" s="2">
        <v>68639</v>
      </c>
      <c r="AU5" s="2">
        <v>77624</v>
      </c>
      <c r="AV5" s="17">
        <v>12049</v>
      </c>
      <c r="AW5" s="2"/>
      <c r="AX5" s="4">
        <v>2</v>
      </c>
      <c r="AY5" s="2">
        <v>33244</v>
      </c>
      <c r="AZ5" s="2">
        <v>39412</v>
      </c>
      <c r="BA5" s="17">
        <v>10818</v>
      </c>
      <c r="BB5" s="2"/>
      <c r="BC5" s="4">
        <v>2</v>
      </c>
      <c r="BD5" s="2">
        <v>7410</v>
      </c>
      <c r="BE5" s="2">
        <v>12138</v>
      </c>
      <c r="BF5" s="17">
        <v>4247</v>
      </c>
      <c r="BG5" s="2"/>
      <c r="BH5" s="4">
        <v>2</v>
      </c>
      <c r="BI5" s="2">
        <v>39773</v>
      </c>
      <c r="BJ5" s="2">
        <v>31750</v>
      </c>
      <c r="BK5" s="17">
        <v>9041</v>
      </c>
      <c r="BL5" s="2"/>
      <c r="BM5" s="4">
        <v>2</v>
      </c>
      <c r="BN5" s="2">
        <v>52332</v>
      </c>
      <c r="BO5" s="2">
        <v>48009</v>
      </c>
      <c r="BP5" s="17">
        <v>11041</v>
      </c>
      <c r="BQ5" s="2"/>
      <c r="BR5" s="4">
        <v>2</v>
      </c>
      <c r="BS5" s="2">
        <v>44181</v>
      </c>
      <c r="BT5" s="2">
        <v>40603</v>
      </c>
      <c r="BU5" s="17">
        <v>9644</v>
      </c>
      <c r="BV5" s="2"/>
      <c r="BW5" s="4">
        <v>2</v>
      </c>
      <c r="BX5" s="2">
        <v>24664</v>
      </c>
      <c r="BY5" s="2">
        <v>39114</v>
      </c>
      <c r="BZ5" s="17">
        <v>7654</v>
      </c>
    </row>
    <row r="6" spans="1:78" ht="15" customHeight="1" x14ac:dyDescent="0.25">
      <c r="D6" t="s">
        <v>22</v>
      </c>
      <c r="E6" s="4">
        <v>2</v>
      </c>
      <c r="F6" s="2">
        <v>5647</v>
      </c>
      <c r="G6" s="2">
        <v>14915</v>
      </c>
      <c r="H6" s="17">
        <v>3804</v>
      </c>
      <c r="I6" s="2"/>
      <c r="J6" s="4">
        <v>2</v>
      </c>
      <c r="K6" s="2">
        <v>22192</v>
      </c>
      <c r="L6" s="2">
        <v>31160</v>
      </c>
      <c r="M6" s="17">
        <v>6057</v>
      </c>
      <c r="N6" s="2"/>
      <c r="O6" s="4">
        <v>2</v>
      </c>
      <c r="P6" s="2">
        <v>34187</v>
      </c>
      <c r="Q6" s="2">
        <v>30540</v>
      </c>
      <c r="R6" s="17">
        <v>8741</v>
      </c>
      <c r="S6" s="2"/>
      <c r="T6" s="4">
        <v>2</v>
      </c>
      <c r="U6" s="2">
        <v>33134</v>
      </c>
      <c r="V6" s="2">
        <v>30063</v>
      </c>
      <c r="W6" s="17">
        <v>6776</v>
      </c>
      <c r="X6" s="2"/>
      <c r="Y6" s="4">
        <v>2</v>
      </c>
      <c r="Z6" s="2">
        <v>21855</v>
      </c>
      <c r="AA6" s="2">
        <v>25971</v>
      </c>
      <c r="AB6" s="17">
        <v>5786</v>
      </c>
      <c r="AC6" s="2"/>
      <c r="AD6" s="4">
        <v>2</v>
      </c>
      <c r="AE6" s="2">
        <v>19846</v>
      </c>
      <c r="AF6" s="2">
        <v>26637</v>
      </c>
      <c r="AG6" s="17">
        <v>6429</v>
      </c>
      <c r="AH6" s="2"/>
      <c r="AI6" s="4">
        <v>2</v>
      </c>
      <c r="AJ6" s="2">
        <v>4997</v>
      </c>
      <c r="AK6" s="2">
        <v>9407</v>
      </c>
      <c r="AL6" s="17">
        <v>3344</v>
      </c>
      <c r="AM6" s="2"/>
      <c r="AN6" s="4">
        <v>2</v>
      </c>
      <c r="AO6" s="2">
        <v>69860</v>
      </c>
      <c r="AP6" s="2">
        <v>58466</v>
      </c>
      <c r="AQ6" s="17">
        <v>12084</v>
      </c>
      <c r="AR6" s="2"/>
      <c r="AS6" s="4">
        <v>2</v>
      </c>
      <c r="AT6" s="2">
        <v>57827</v>
      </c>
      <c r="AU6" s="2">
        <v>52130</v>
      </c>
      <c r="AV6" s="17">
        <v>9679</v>
      </c>
      <c r="AW6" s="2"/>
      <c r="AX6" s="4">
        <v>2</v>
      </c>
      <c r="AY6" s="2">
        <v>24432</v>
      </c>
      <c r="AZ6" s="2">
        <v>26663</v>
      </c>
      <c r="BA6" s="17">
        <v>7053</v>
      </c>
      <c r="BB6" s="2"/>
      <c r="BC6" s="4">
        <v>2</v>
      </c>
      <c r="BD6" s="2">
        <v>4991</v>
      </c>
      <c r="BE6" s="2">
        <v>9493</v>
      </c>
      <c r="BF6" s="17">
        <v>2573</v>
      </c>
      <c r="BG6" s="2"/>
      <c r="BH6" s="4">
        <v>2</v>
      </c>
      <c r="BI6" s="2">
        <v>39296</v>
      </c>
      <c r="BJ6" s="2">
        <v>37551</v>
      </c>
      <c r="BK6" s="17">
        <v>8154</v>
      </c>
      <c r="BL6" s="2"/>
      <c r="BM6" s="4">
        <v>2</v>
      </c>
      <c r="BN6" s="2">
        <v>32868</v>
      </c>
      <c r="BO6" s="2">
        <v>24183</v>
      </c>
      <c r="BP6" s="17">
        <v>7437</v>
      </c>
      <c r="BQ6" s="2"/>
      <c r="BR6" s="4">
        <v>2</v>
      </c>
      <c r="BS6" s="2">
        <v>35442</v>
      </c>
      <c r="BT6" s="2">
        <v>29783</v>
      </c>
      <c r="BU6" s="17">
        <v>7304</v>
      </c>
      <c r="BV6" s="2"/>
      <c r="BW6" s="4">
        <v>2</v>
      </c>
      <c r="BX6" s="2">
        <v>24647</v>
      </c>
      <c r="BY6" s="2">
        <v>26093</v>
      </c>
      <c r="BZ6" s="17">
        <v>6170</v>
      </c>
    </row>
    <row r="7" spans="1:78" ht="15" customHeight="1" x14ac:dyDescent="0.25">
      <c r="D7" t="s">
        <v>21</v>
      </c>
      <c r="E7" s="4">
        <v>3</v>
      </c>
      <c r="F7" s="2">
        <v>19611</v>
      </c>
      <c r="G7" s="2">
        <v>35627</v>
      </c>
      <c r="H7" s="17">
        <v>5766</v>
      </c>
      <c r="I7" s="2"/>
      <c r="J7" s="4">
        <v>3</v>
      </c>
      <c r="K7" s="2">
        <v>15567</v>
      </c>
      <c r="L7" s="2">
        <v>22327</v>
      </c>
      <c r="M7" s="17">
        <v>6619</v>
      </c>
      <c r="N7" s="2"/>
      <c r="O7" s="4">
        <v>3</v>
      </c>
      <c r="P7" s="2">
        <v>41375</v>
      </c>
      <c r="Q7" s="2">
        <v>44546</v>
      </c>
      <c r="R7" s="17">
        <v>9644</v>
      </c>
      <c r="S7" s="2"/>
      <c r="T7" s="4">
        <v>3</v>
      </c>
      <c r="U7" s="2">
        <v>29794</v>
      </c>
      <c r="V7" s="2">
        <v>32748</v>
      </c>
      <c r="W7" s="17">
        <v>8314</v>
      </c>
      <c r="X7" s="2"/>
      <c r="Y7" s="4">
        <v>3</v>
      </c>
      <c r="Z7" s="2">
        <v>20781</v>
      </c>
      <c r="AA7" s="2">
        <v>30555</v>
      </c>
      <c r="AB7" s="17">
        <v>7656</v>
      </c>
      <c r="AC7" s="2"/>
      <c r="AD7" s="4">
        <v>3</v>
      </c>
      <c r="AE7" s="2">
        <v>20579</v>
      </c>
      <c r="AF7" s="2">
        <v>26512</v>
      </c>
      <c r="AG7" s="17">
        <v>6419</v>
      </c>
      <c r="AH7" s="2"/>
      <c r="AI7" s="4">
        <v>3</v>
      </c>
      <c r="AJ7" s="2">
        <v>6263</v>
      </c>
      <c r="AK7" s="2">
        <v>10587</v>
      </c>
      <c r="AL7" s="17">
        <v>3522</v>
      </c>
      <c r="AM7" s="2"/>
      <c r="AN7" s="4">
        <v>3</v>
      </c>
      <c r="AO7" s="2">
        <v>43772</v>
      </c>
      <c r="AP7" s="2">
        <v>49505</v>
      </c>
      <c r="AQ7" s="17">
        <v>10468</v>
      </c>
      <c r="AR7" s="2"/>
      <c r="AS7" s="4">
        <v>3</v>
      </c>
      <c r="AT7" s="2">
        <v>38063</v>
      </c>
      <c r="AU7" s="2">
        <v>50490</v>
      </c>
      <c r="AV7" s="17">
        <v>8826</v>
      </c>
      <c r="AW7" s="2"/>
      <c r="AX7" s="4">
        <v>3</v>
      </c>
      <c r="AY7" s="2">
        <v>24654</v>
      </c>
      <c r="AZ7" s="2">
        <v>23654</v>
      </c>
      <c r="BA7" s="17">
        <v>7662</v>
      </c>
      <c r="BB7" s="2"/>
      <c r="BC7" s="4">
        <v>3</v>
      </c>
      <c r="BD7" s="2">
        <v>9659</v>
      </c>
      <c r="BE7" s="2">
        <v>15655</v>
      </c>
      <c r="BF7" s="17">
        <v>4867</v>
      </c>
      <c r="BG7" s="2"/>
      <c r="BH7" s="4">
        <v>3</v>
      </c>
      <c r="BI7" s="2">
        <v>59548</v>
      </c>
      <c r="BJ7" s="2">
        <v>44249</v>
      </c>
      <c r="BK7" s="17">
        <v>10428</v>
      </c>
      <c r="BL7" s="2"/>
      <c r="BM7" s="4">
        <v>3</v>
      </c>
      <c r="BN7" s="2">
        <v>34259</v>
      </c>
      <c r="BO7" s="2">
        <v>29342</v>
      </c>
      <c r="BP7" s="17">
        <v>8104</v>
      </c>
      <c r="BQ7" s="2"/>
      <c r="BR7" s="4">
        <v>3</v>
      </c>
      <c r="BS7" s="18"/>
      <c r="BT7" s="18"/>
      <c r="BU7" s="19"/>
      <c r="BV7" s="2"/>
      <c r="BW7" s="4">
        <v>3</v>
      </c>
      <c r="BX7" s="2">
        <v>34466</v>
      </c>
      <c r="BY7" s="2">
        <v>34188</v>
      </c>
      <c r="BZ7" s="17">
        <v>8236</v>
      </c>
    </row>
    <row r="8" spans="1:78" ht="15" customHeight="1" x14ac:dyDescent="0.25">
      <c r="D8" t="s">
        <v>22</v>
      </c>
      <c r="E8" s="4">
        <v>3</v>
      </c>
      <c r="F8" s="2">
        <v>15156</v>
      </c>
      <c r="G8" s="2">
        <v>23979</v>
      </c>
      <c r="H8" s="17">
        <v>6346</v>
      </c>
      <c r="I8" s="2"/>
      <c r="J8" s="4">
        <v>3</v>
      </c>
      <c r="K8" s="2">
        <v>9795</v>
      </c>
      <c r="L8" s="2">
        <v>15188</v>
      </c>
      <c r="M8" s="17">
        <v>3807</v>
      </c>
      <c r="N8" s="2"/>
      <c r="O8" s="4">
        <v>3</v>
      </c>
      <c r="P8" s="2">
        <v>35750</v>
      </c>
      <c r="Q8" s="2">
        <v>28197</v>
      </c>
      <c r="R8" s="17">
        <v>7116</v>
      </c>
      <c r="S8" s="2"/>
      <c r="T8" s="4">
        <v>3</v>
      </c>
      <c r="U8" s="2">
        <v>22868</v>
      </c>
      <c r="V8" s="2">
        <v>30803</v>
      </c>
      <c r="W8" s="17">
        <v>6472</v>
      </c>
      <c r="X8" s="2"/>
      <c r="Y8" s="4">
        <v>3</v>
      </c>
      <c r="Z8" s="2">
        <v>13924</v>
      </c>
      <c r="AA8" s="2">
        <v>21422</v>
      </c>
      <c r="AB8" s="17">
        <v>4925</v>
      </c>
      <c r="AC8" s="2"/>
      <c r="AD8" s="4">
        <v>3</v>
      </c>
      <c r="AE8" s="2">
        <v>26018</v>
      </c>
      <c r="AF8" s="2">
        <v>29504</v>
      </c>
      <c r="AG8" s="17">
        <v>7014</v>
      </c>
      <c r="AH8" s="2"/>
      <c r="AI8" s="4">
        <v>3</v>
      </c>
      <c r="AJ8" s="2">
        <v>5167</v>
      </c>
      <c r="AK8" s="2">
        <v>9278</v>
      </c>
      <c r="AL8" s="17">
        <v>2866</v>
      </c>
      <c r="AM8" s="2"/>
      <c r="AN8" s="4">
        <v>3</v>
      </c>
      <c r="AO8" s="2">
        <v>40253</v>
      </c>
      <c r="AP8" s="2">
        <v>44231</v>
      </c>
      <c r="AQ8" s="17">
        <v>8138</v>
      </c>
      <c r="AR8" s="2"/>
      <c r="AS8" s="4">
        <v>3</v>
      </c>
      <c r="AT8" s="2">
        <v>30738</v>
      </c>
      <c r="AU8" s="2">
        <v>31914</v>
      </c>
      <c r="AV8" s="17">
        <v>6967</v>
      </c>
      <c r="AW8" s="2"/>
      <c r="AX8" s="4">
        <v>3</v>
      </c>
      <c r="AY8" s="2">
        <v>19537</v>
      </c>
      <c r="AZ8" s="2">
        <v>20697</v>
      </c>
      <c r="BA8" s="17">
        <v>5717</v>
      </c>
      <c r="BB8" s="2"/>
      <c r="BC8" s="4">
        <v>3</v>
      </c>
      <c r="BD8" s="2">
        <v>5282</v>
      </c>
      <c r="BE8" s="2">
        <v>10546</v>
      </c>
      <c r="BF8" s="17">
        <v>2911</v>
      </c>
      <c r="BG8" s="2"/>
      <c r="BH8" s="4">
        <v>3</v>
      </c>
      <c r="BI8" s="2">
        <v>44994</v>
      </c>
      <c r="BJ8" s="2">
        <v>31645</v>
      </c>
      <c r="BK8" s="17">
        <v>7595</v>
      </c>
      <c r="BL8" s="2"/>
      <c r="BM8" s="4">
        <v>3</v>
      </c>
      <c r="BN8" s="2">
        <v>26672</v>
      </c>
      <c r="BO8" s="2">
        <v>20970</v>
      </c>
      <c r="BP8" s="17">
        <v>6183</v>
      </c>
      <c r="BQ8" s="2"/>
      <c r="BR8" s="4">
        <v>3</v>
      </c>
      <c r="BS8" s="18"/>
      <c r="BT8" s="18"/>
      <c r="BU8" s="19"/>
      <c r="BV8" s="2"/>
      <c r="BW8" s="4">
        <v>3</v>
      </c>
      <c r="BX8" s="2">
        <v>26725</v>
      </c>
      <c r="BY8" s="2">
        <v>35630</v>
      </c>
      <c r="BZ8" s="17">
        <v>7637</v>
      </c>
    </row>
    <row r="9" spans="1:78" ht="15" customHeight="1" x14ac:dyDescent="0.25">
      <c r="D9" t="s">
        <v>21</v>
      </c>
      <c r="E9" s="4">
        <v>4</v>
      </c>
      <c r="F9" s="2">
        <v>23876</v>
      </c>
      <c r="G9" s="2">
        <v>29717</v>
      </c>
      <c r="H9" s="17">
        <v>7134</v>
      </c>
      <c r="I9" s="2"/>
      <c r="J9" s="4">
        <v>4</v>
      </c>
      <c r="K9" s="2">
        <v>30036</v>
      </c>
      <c r="L9" s="2">
        <v>42432</v>
      </c>
      <c r="M9" s="17">
        <v>8087</v>
      </c>
      <c r="N9" s="2"/>
      <c r="O9" s="4">
        <v>4</v>
      </c>
      <c r="P9" s="2">
        <v>34550</v>
      </c>
      <c r="Q9" s="2">
        <v>46221</v>
      </c>
      <c r="R9" s="17">
        <v>8472</v>
      </c>
      <c r="S9" s="2"/>
      <c r="T9" s="4">
        <v>4</v>
      </c>
      <c r="U9" s="2">
        <v>27063</v>
      </c>
      <c r="V9" s="2">
        <v>33630</v>
      </c>
      <c r="W9" s="17">
        <v>8747</v>
      </c>
      <c r="X9" s="2"/>
      <c r="Y9" s="4">
        <v>4</v>
      </c>
      <c r="Z9" s="2">
        <v>13901</v>
      </c>
      <c r="AA9" s="2">
        <v>30057</v>
      </c>
      <c r="AB9" s="17">
        <v>5659</v>
      </c>
      <c r="AC9" s="2"/>
      <c r="AD9" s="4">
        <v>4</v>
      </c>
      <c r="AE9" s="2">
        <v>25766</v>
      </c>
      <c r="AF9" s="2">
        <v>28530</v>
      </c>
      <c r="AG9" s="17">
        <v>7477</v>
      </c>
      <c r="AH9" s="2"/>
      <c r="AI9" s="4">
        <v>4</v>
      </c>
      <c r="AJ9" s="18"/>
      <c r="AK9" s="18"/>
      <c r="AL9" s="19"/>
      <c r="AM9" s="2"/>
      <c r="AN9" s="4">
        <v>4</v>
      </c>
      <c r="AO9" s="2">
        <v>35567</v>
      </c>
      <c r="AP9" s="2">
        <v>39583</v>
      </c>
      <c r="AQ9" s="17">
        <v>8323</v>
      </c>
      <c r="AR9" s="2"/>
      <c r="AS9" s="4">
        <v>4</v>
      </c>
      <c r="AT9" s="2">
        <v>43310</v>
      </c>
      <c r="AU9" s="2">
        <v>56472</v>
      </c>
      <c r="AV9" s="17">
        <v>9216</v>
      </c>
      <c r="AW9" s="2"/>
      <c r="AX9" s="4">
        <v>4</v>
      </c>
      <c r="AY9" s="2">
        <v>10920</v>
      </c>
      <c r="AZ9" s="2">
        <v>15752</v>
      </c>
      <c r="BA9" s="17">
        <v>4909</v>
      </c>
      <c r="BB9" s="2"/>
      <c r="BC9" s="4">
        <v>4</v>
      </c>
      <c r="BD9" s="2">
        <v>18737</v>
      </c>
      <c r="BE9" s="2">
        <v>26504</v>
      </c>
      <c r="BF9" s="17">
        <v>5897</v>
      </c>
      <c r="BG9" s="2"/>
      <c r="BH9" s="4">
        <v>4</v>
      </c>
      <c r="BI9" s="2">
        <v>56654</v>
      </c>
      <c r="BJ9" s="2">
        <v>50438</v>
      </c>
      <c r="BK9" s="17">
        <v>11611</v>
      </c>
      <c r="BL9" s="2"/>
      <c r="BM9" s="4">
        <v>4</v>
      </c>
      <c r="BN9" s="2">
        <v>51879</v>
      </c>
      <c r="BO9" s="2">
        <v>44281</v>
      </c>
      <c r="BP9" s="17">
        <v>9619</v>
      </c>
      <c r="BQ9" s="2"/>
      <c r="BR9" s="4">
        <v>4</v>
      </c>
      <c r="BS9" s="2">
        <v>31341</v>
      </c>
      <c r="BT9" s="2">
        <v>33847</v>
      </c>
      <c r="BU9" s="17">
        <v>8068</v>
      </c>
      <c r="BV9" s="2"/>
      <c r="BW9" s="4">
        <v>4</v>
      </c>
      <c r="BX9" s="2">
        <v>6681</v>
      </c>
      <c r="BY9" s="2">
        <v>14368</v>
      </c>
      <c r="BZ9" s="17">
        <v>5784</v>
      </c>
    </row>
    <row r="10" spans="1:78" ht="15" customHeight="1" x14ac:dyDescent="0.25">
      <c r="D10" t="s">
        <v>22</v>
      </c>
      <c r="E10" s="4">
        <v>4</v>
      </c>
      <c r="F10" s="2">
        <v>16269</v>
      </c>
      <c r="G10" s="2">
        <v>26363</v>
      </c>
      <c r="H10" s="17">
        <v>5811</v>
      </c>
      <c r="I10" s="2"/>
      <c r="J10" s="4">
        <v>4</v>
      </c>
      <c r="K10" s="2">
        <v>26456</v>
      </c>
      <c r="L10" s="2">
        <v>34880</v>
      </c>
      <c r="M10" s="17">
        <v>6965</v>
      </c>
      <c r="N10" s="2"/>
      <c r="O10" s="4">
        <v>4</v>
      </c>
      <c r="P10" s="2">
        <v>30153</v>
      </c>
      <c r="Q10" s="2">
        <v>32210</v>
      </c>
      <c r="R10" s="17">
        <v>7378</v>
      </c>
      <c r="S10" s="2"/>
      <c r="T10" s="4">
        <v>4</v>
      </c>
      <c r="U10" s="2">
        <v>23206</v>
      </c>
      <c r="V10" s="2">
        <v>25890</v>
      </c>
      <c r="W10" s="17">
        <v>6491</v>
      </c>
      <c r="X10" s="2"/>
      <c r="Y10" s="4">
        <v>4</v>
      </c>
      <c r="Z10" s="2">
        <v>10294</v>
      </c>
      <c r="AA10" s="2">
        <v>21398</v>
      </c>
      <c r="AB10" s="17">
        <v>4293</v>
      </c>
      <c r="AC10" s="2"/>
      <c r="AD10" s="4">
        <v>4</v>
      </c>
      <c r="AE10" s="2">
        <v>20954</v>
      </c>
      <c r="AF10" s="2">
        <v>25851</v>
      </c>
      <c r="AG10" s="17">
        <v>5797</v>
      </c>
      <c r="AH10" s="2"/>
      <c r="AI10" s="4">
        <v>4</v>
      </c>
      <c r="AJ10" s="18"/>
      <c r="AK10" s="18"/>
      <c r="AL10" s="19"/>
      <c r="AM10" s="2"/>
      <c r="AN10" s="4">
        <v>4</v>
      </c>
      <c r="AO10" s="2">
        <v>37953</v>
      </c>
      <c r="AP10" s="2">
        <v>44012</v>
      </c>
      <c r="AQ10" s="17">
        <v>8830</v>
      </c>
      <c r="AR10" s="2"/>
      <c r="AS10" s="4">
        <v>4</v>
      </c>
      <c r="AT10" s="2">
        <v>35432</v>
      </c>
      <c r="AU10" s="2">
        <v>36452</v>
      </c>
      <c r="AV10" s="17">
        <v>7798</v>
      </c>
      <c r="AW10" s="2"/>
      <c r="AX10" s="4">
        <v>4</v>
      </c>
      <c r="AY10" s="2">
        <v>9580</v>
      </c>
      <c r="AZ10" s="2">
        <v>15925</v>
      </c>
      <c r="BA10" s="17">
        <v>5142</v>
      </c>
      <c r="BB10" s="2"/>
      <c r="BC10" s="4">
        <v>4</v>
      </c>
      <c r="BD10" s="2">
        <v>13487</v>
      </c>
      <c r="BE10" s="2">
        <v>22537</v>
      </c>
      <c r="BF10" s="17">
        <v>5790</v>
      </c>
      <c r="BG10" s="2"/>
      <c r="BH10" s="4">
        <v>4</v>
      </c>
      <c r="BI10" s="2">
        <v>38878</v>
      </c>
      <c r="BJ10" s="2">
        <v>30985</v>
      </c>
      <c r="BK10" s="17">
        <v>8407</v>
      </c>
      <c r="BL10" s="2"/>
      <c r="BM10" s="4">
        <v>4</v>
      </c>
      <c r="BN10" s="2">
        <v>42458</v>
      </c>
      <c r="BO10" s="2">
        <v>30083</v>
      </c>
      <c r="BP10" s="17">
        <v>7859</v>
      </c>
      <c r="BQ10" s="2"/>
      <c r="BR10" s="4">
        <v>4</v>
      </c>
      <c r="BS10" s="2">
        <v>23184</v>
      </c>
      <c r="BT10" s="2">
        <v>28771</v>
      </c>
      <c r="BU10" s="17">
        <v>7295</v>
      </c>
      <c r="BV10" s="2"/>
      <c r="BW10" s="90">
        <v>4</v>
      </c>
      <c r="BX10" s="39" t="s">
        <v>19</v>
      </c>
      <c r="BY10" s="2">
        <v>3619</v>
      </c>
      <c r="BZ10" s="17">
        <v>1012</v>
      </c>
    </row>
    <row r="11" spans="1:78" ht="15" customHeight="1" x14ac:dyDescent="0.25">
      <c r="D11" t="s">
        <v>21</v>
      </c>
      <c r="E11" s="4">
        <v>5</v>
      </c>
      <c r="F11" s="2">
        <v>13350</v>
      </c>
      <c r="G11" s="2">
        <v>24928</v>
      </c>
      <c r="H11" s="17">
        <v>5417</v>
      </c>
      <c r="I11" s="2"/>
      <c r="J11" s="4">
        <v>5</v>
      </c>
      <c r="K11" s="2">
        <v>20007</v>
      </c>
      <c r="L11" s="2">
        <v>31668</v>
      </c>
      <c r="M11" s="17">
        <v>6758</v>
      </c>
      <c r="N11" s="2"/>
      <c r="O11" s="4">
        <v>5</v>
      </c>
      <c r="P11" s="2">
        <v>50259</v>
      </c>
      <c r="Q11" s="2">
        <v>54664</v>
      </c>
      <c r="R11" s="17">
        <v>8575</v>
      </c>
      <c r="S11" s="2"/>
      <c r="T11" s="4">
        <v>5</v>
      </c>
      <c r="U11" s="2">
        <v>24324</v>
      </c>
      <c r="V11" s="2">
        <v>35533</v>
      </c>
      <c r="W11" s="17">
        <v>8428</v>
      </c>
      <c r="X11" s="2"/>
      <c r="Y11" s="4">
        <v>5</v>
      </c>
      <c r="Z11" s="2">
        <v>20905</v>
      </c>
      <c r="AA11" s="2">
        <v>43000</v>
      </c>
      <c r="AB11" s="17">
        <v>6694</v>
      </c>
      <c r="AC11" s="2"/>
      <c r="AD11" s="4">
        <v>5</v>
      </c>
      <c r="AE11" s="2">
        <v>22357</v>
      </c>
      <c r="AF11" s="2">
        <v>31742</v>
      </c>
      <c r="AG11" s="17">
        <v>6612</v>
      </c>
      <c r="AH11" s="2"/>
      <c r="AI11" s="4">
        <v>5</v>
      </c>
      <c r="AJ11" s="2">
        <v>30438</v>
      </c>
      <c r="AK11" s="2">
        <v>37005</v>
      </c>
      <c r="AL11" s="17">
        <v>8958</v>
      </c>
      <c r="AM11" s="2"/>
      <c r="AN11" s="4">
        <v>5</v>
      </c>
      <c r="AO11" s="2">
        <v>20578</v>
      </c>
      <c r="AP11" s="2">
        <v>26597</v>
      </c>
      <c r="AQ11" s="17">
        <v>6106</v>
      </c>
      <c r="AR11" s="2"/>
      <c r="AS11" s="4">
        <v>5</v>
      </c>
      <c r="AT11" s="2">
        <v>47670</v>
      </c>
      <c r="AU11" s="2">
        <v>59677</v>
      </c>
      <c r="AV11" s="17">
        <v>11080</v>
      </c>
      <c r="AW11" s="2"/>
      <c r="AX11" s="4">
        <v>5</v>
      </c>
      <c r="AY11" s="2">
        <v>24365</v>
      </c>
      <c r="AZ11" s="2">
        <v>27214</v>
      </c>
      <c r="BA11" s="17">
        <v>7031</v>
      </c>
      <c r="BB11" s="2"/>
      <c r="BC11" s="4">
        <v>5</v>
      </c>
      <c r="BD11" s="43">
        <v>6157</v>
      </c>
      <c r="BE11" s="43">
        <v>9612</v>
      </c>
      <c r="BF11" s="50">
        <v>3394</v>
      </c>
      <c r="BG11" s="2"/>
      <c r="BH11" s="4">
        <v>5</v>
      </c>
      <c r="BI11" s="2">
        <v>43909</v>
      </c>
      <c r="BJ11" s="2">
        <v>30215</v>
      </c>
      <c r="BK11" s="17">
        <v>8466</v>
      </c>
      <c r="BL11" s="2"/>
      <c r="BM11" s="4">
        <v>5</v>
      </c>
      <c r="BN11" s="2">
        <v>37316</v>
      </c>
      <c r="BO11" s="2">
        <v>34143</v>
      </c>
      <c r="BP11" s="17">
        <v>7770</v>
      </c>
      <c r="BQ11" s="2"/>
      <c r="BR11" s="4">
        <v>5</v>
      </c>
      <c r="BS11" s="18"/>
      <c r="BT11" s="18"/>
      <c r="BU11" s="19"/>
      <c r="BV11" s="2"/>
      <c r="BW11" s="4">
        <v>5</v>
      </c>
      <c r="BX11" s="2">
        <v>13548</v>
      </c>
      <c r="BY11" s="2">
        <v>22289</v>
      </c>
      <c r="BZ11" s="17">
        <v>5884</v>
      </c>
    </row>
    <row r="12" spans="1:78" ht="15" customHeight="1" x14ac:dyDescent="0.25">
      <c r="D12" t="s">
        <v>22</v>
      </c>
      <c r="E12" s="4">
        <v>5</v>
      </c>
      <c r="F12" s="2">
        <v>8457</v>
      </c>
      <c r="G12" s="2">
        <v>18255</v>
      </c>
      <c r="H12" s="17">
        <v>4124</v>
      </c>
      <c r="I12" s="2"/>
      <c r="J12" s="4">
        <v>5</v>
      </c>
      <c r="K12" s="2">
        <v>20183</v>
      </c>
      <c r="L12" s="2">
        <v>23533</v>
      </c>
      <c r="M12" s="17">
        <v>6074</v>
      </c>
      <c r="N12" s="2"/>
      <c r="O12" s="4">
        <v>5</v>
      </c>
      <c r="P12" s="2">
        <v>50105</v>
      </c>
      <c r="Q12" s="2">
        <v>42324</v>
      </c>
      <c r="R12" s="17">
        <v>7945</v>
      </c>
      <c r="S12" s="2"/>
      <c r="T12" s="4">
        <v>5</v>
      </c>
      <c r="U12" s="2">
        <v>19407</v>
      </c>
      <c r="V12" s="2">
        <v>26812</v>
      </c>
      <c r="W12" s="17">
        <v>6137</v>
      </c>
      <c r="X12" s="2"/>
      <c r="Y12" s="4">
        <v>5</v>
      </c>
      <c r="Z12" s="2">
        <v>18316</v>
      </c>
      <c r="AA12" s="2">
        <v>41275</v>
      </c>
      <c r="AB12" s="17">
        <v>6783</v>
      </c>
      <c r="AC12" s="2"/>
      <c r="AD12" s="4">
        <v>5</v>
      </c>
      <c r="AE12" s="2">
        <v>17649</v>
      </c>
      <c r="AF12" s="2">
        <v>21666</v>
      </c>
      <c r="AG12" s="17">
        <v>5682</v>
      </c>
      <c r="AH12" s="2"/>
      <c r="AI12" s="4">
        <v>5</v>
      </c>
      <c r="AJ12" s="2">
        <v>20131</v>
      </c>
      <c r="AK12" s="2">
        <v>20606</v>
      </c>
      <c r="AL12" s="17">
        <v>5035</v>
      </c>
      <c r="AM12" s="2"/>
      <c r="AN12" s="4">
        <v>5</v>
      </c>
      <c r="AO12" s="2">
        <v>26226</v>
      </c>
      <c r="AP12" s="2">
        <v>33287</v>
      </c>
      <c r="AQ12" s="17">
        <v>6185</v>
      </c>
      <c r="AR12" s="2"/>
      <c r="AS12" s="4">
        <v>5</v>
      </c>
      <c r="AT12" s="2">
        <v>40154</v>
      </c>
      <c r="AU12" s="2">
        <v>39280</v>
      </c>
      <c r="AV12" s="17">
        <v>7940</v>
      </c>
      <c r="AW12" s="2"/>
      <c r="AX12" s="4">
        <v>5</v>
      </c>
      <c r="AY12" s="2">
        <v>16170</v>
      </c>
      <c r="AZ12" s="2">
        <v>22632</v>
      </c>
      <c r="BA12" s="17">
        <v>6613</v>
      </c>
      <c r="BB12" s="2"/>
      <c r="BC12" s="4">
        <v>5</v>
      </c>
      <c r="BD12" s="43">
        <v>3593</v>
      </c>
      <c r="BE12" s="43">
        <v>7202</v>
      </c>
      <c r="BF12" s="50">
        <v>2278</v>
      </c>
      <c r="BG12" s="2"/>
      <c r="BH12" s="4">
        <v>5</v>
      </c>
      <c r="BI12" s="2">
        <v>34379</v>
      </c>
      <c r="BJ12" s="2">
        <v>30371</v>
      </c>
      <c r="BK12" s="17">
        <v>7516</v>
      </c>
      <c r="BL12" s="2"/>
      <c r="BM12" s="4">
        <v>5</v>
      </c>
      <c r="BN12" s="2">
        <v>30948</v>
      </c>
      <c r="BO12" s="2">
        <v>27133</v>
      </c>
      <c r="BP12" s="17">
        <v>7537</v>
      </c>
      <c r="BQ12" s="2"/>
      <c r="BR12" s="4">
        <v>5</v>
      </c>
      <c r="BS12" s="18"/>
      <c r="BT12" s="18"/>
      <c r="BU12" s="19"/>
      <c r="BV12" s="2"/>
      <c r="BW12" s="4">
        <v>5</v>
      </c>
      <c r="BX12" s="2">
        <v>8819</v>
      </c>
      <c r="BY12" s="2">
        <v>12986</v>
      </c>
      <c r="BZ12" s="17">
        <v>4171</v>
      </c>
    </row>
    <row r="13" spans="1:78" ht="15" customHeight="1" x14ac:dyDescent="0.25">
      <c r="D13" t="s">
        <v>21</v>
      </c>
      <c r="E13" s="4">
        <v>6</v>
      </c>
      <c r="F13" s="2">
        <v>18408</v>
      </c>
      <c r="G13" s="2">
        <v>35976</v>
      </c>
      <c r="H13" s="17">
        <v>7985</v>
      </c>
      <c r="I13" s="2"/>
      <c r="J13" s="4">
        <v>6</v>
      </c>
      <c r="K13" s="2">
        <v>18651</v>
      </c>
      <c r="L13" s="2">
        <v>25186</v>
      </c>
      <c r="M13" s="17">
        <v>6357</v>
      </c>
      <c r="N13" s="2"/>
      <c r="O13" s="4">
        <v>6</v>
      </c>
      <c r="P13" s="2">
        <v>54209</v>
      </c>
      <c r="Q13" s="2">
        <v>51060</v>
      </c>
      <c r="R13" s="17">
        <v>11534</v>
      </c>
      <c r="S13" s="2"/>
      <c r="T13" s="4">
        <v>6</v>
      </c>
      <c r="U13" s="2">
        <v>32325</v>
      </c>
      <c r="V13" s="2">
        <v>47064</v>
      </c>
      <c r="W13" s="17">
        <v>8439</v>
      </c>
      <c r="X13" s="2"/>
      <c r="Y13" s="4">
        <v>6</v>
      </c>
      <c r="Z13" s="18"/>
      <c r="AA13" s="18"/>
      <c r="AB13" s="19"/>
      <c r="AC13" s="2"/>
      <c r="AD13" s="4">
        <v>6</v>
      </c>
      <c r="AE13" s="2">
        <v>11000</v>
      </c>
      <c r="AF13" s="2">
        <v>25249</v>
      </c>
      <c r="AG13" s="17">
        <v>5607</v>
      </c>
      <c r="AH13" s="2"/>
      <c r="AI13" s="4">
        <v>6</v>
      </c>
      <c r="AJ13" s="2">
        <v>26830</v>
      </c>
      <c r="AK13" s="2">
        <v>27501</v>
      </c>
      <c r="AL13" s="17">
        <v>7254</v>
      </c>
      <c r="AM13" s="2"/>
      <c r="AN13" s="4">
        <v>6</v>
      </c>
      <c r="AO13" s="2">
        <v>57782</v>
      </c>
      <c r="AP13" s="2">
        <v>49620</v>
      </c>
      <c r="AQ13" s="17">
        <v>11168</v>
      </c>
      <c r="AR13" s="2"/>
      <c r="AS13" s="4">
        <v>6</v>
      </c>
      <c r="AT13" s="2">
        <v>42533</v>
      </c>
      <c r="AU13" s="2">
        <v>51091</v>
      </c>
      <c r="AV13" s="17">
        <v>8723</v>
      </c>
      <c r="AW13" s="2"/>
      <c r="AX13" s="4">
        <v>6</v>
      </c>
      <c r="AY13" s="2">
        <v>18438</v>
      </c>
      <c r="AZ13" s="2">
        <v>28165</v>
      </c>
      <c r="BA13" s="17">
        <v>6617</v>
      </c>
      <c r="BB13" s="2"/>
      <c r="BC13" s="4">
        <v>6</v>
      </c>
      <c r="BD13" s="43">
        <v>4786</v>
      </c>
      <c r="BE13" s="43">
        <v>9803</v>
      </c>
      <c r="BF13" s="50">
        <v>3497</v>
      </c>
      <c r="BG13" s="2"/>
      <c r="BH13" s="4">
        <v>6</v>
      </c>
      <c r="BI13" s="2">
        <v>47455</v>
      </c>
      <c r="BJ13" s="2">
        <v>42982</v>
      </c>
      <c r="BK13" s="17">
        <v>8804</v>
      </c>
      <c r="BL13" s="2"/>
      <c r="BM13" s="4">
        <v>6</v>
      </c>
      <c r="BN13" s="2">
        <v>39933</v>
      </c>
      <c r="BO13" s="2">
        <v>30360</v>
      </c>
      <c r="BP13" s="17">
        <v>7933</v>
      </c>
      <c r="BQ13" s="2"/>
      <c r="BR13" s="4">
        <v>6</v>
      </c>
      <c r="BS13" s="18"/>
      <c r="BT13" s="18"/>
      <c r="BU13" s="19"/>
      <c r="BV13" s="2"/>
      <c r="BW13" s="4">
        <v>6</v>
      </c>
      <c r="BX13" s="2">
        <v>22811</v>
      </c>
      <c r="BY13" s="2">
        <v>33553</v>
      </c>
      <c r="BZ13" s="17">
        <v>7355</v>
      </c>
    </row>
    <row r="14" spans="1:78" ht="15" customHeight="1" x14ac:dyDescent="0.25">
      <c r="D14" t="s">
        <v>22</v>
      </c>
      <c r="E14" s="4">
        <v>6</v>
      </c>
      <c r="F14" s="2">
        <v>17108</v>
      </c>
      <c r="G14" s="2">
        <v>24269</v>
      </c>
      <c r="H14" s="17">
        <v>6049</v>
      </c>
      <c r="I14" s="2"/>
      <c r="J14" s="4">
        <v>6</v>
      </c>
      <c r="K14" s="2">
        <v>15304</v>
      </c>
      <c r="L14" s="2">
        <v>21463</v>
      </c>
      <c r="M14" s="17">
        <v>5288</v>
      </c>
      <c r="N14" s="2"/>
      <c r="O14" s="4">
        <v>6</v>
      </c>
      <c r="P14" s="2">
        <v>42375</v>
      </c>
      <c r="Q14" s="2">
        <v>32954</v>
      </c>
      <c r="R14" s="17">
        <v>8422</v>
      </c>
      <c r="S14" s="2"/>
      <c r="T14" s="4">
        <v>6</v>
      </c>
      <c r="U14" s="2">
        <v>26005</v>
      </c>
      <c r="V14" s="2">
        <v>24223</v>
      </c>
      <c r="W14" s="17">
        <v>6096</v>
      </c>
      <c r="X14" s="2"/>
      <c r="Y14" s="4">
        <v>6</v>
      </c>
      <c r="Z14" s="18"/>
      <c r="AA14" s="18"/>
      <c r="AB14" s="19"/>
      <c r="AC14" s="2"/>
      <c r="AD14" s="4">
        <v>6</v>
      </c>
      <c r="AE14" s="2">
        <v>11089</v>
      </c>
      <c r="AF14" s="2">
        <v>20885</v>
      </c>
      <c r="AG14" s="17">
        <v>4404</v>
      </c>
      <c r="AH14" s="2"/>
      <c r="AI14" s="4">
        <v>6</v>
      </c>
      <c r="AJ14" s="2">
        <v>21620</v>
      </c>
      <c r="AK14" s="2">
        <v>24974</v>
      </c>
      <c r="AL14" s="17">
        <v>5780</v>
      </c>
      <c r="AM14" s="2"/>
      <c r="AN14" s="4">
        <v>6</v>
      </c>
      <c r="AO14" s="2">
        <v>56507</v>
      </c>
      <c r="AP14" s="2">
        <v>57301</v>
      </c>
      <c r="AQ14" s="17">
        <v>11445</v>
      </c>
      <c r="AR14" s="2"/>
      <c r="AS14" s="4">
        <v>6</v>
      </c>
      <c r="AT14" s="2">
        <v>39896</v>
      </c>
      <c r="AU14" s="2">
        <v>42569</v>
      </c>
      <c r="AV14" s="17">
        <v>8514</v>
      </c>
      <c r="AW14" s="2"/>
      <c r="AX14" s="4">
        <v>6</v>
      </c>
      <c r="AY14" s="2">
        <v>16700</v>
      </c>
      <c r="AZ14" s="2">
        <v>24912</v>
      </c>
      <c r="BA14" s="17">
        <v>7276</v>
      </c>
      <c r="BB14" s="2"/>
      <c r="BC14" s="4">
        <v>6</v>
      </c>
      <c r="BD14" s="43">
        <v>3648</v>
      </c>
      <c r="BE14" s="43">
        <v>7374</v>
      </c>
      <c r="BF14" s="50">
        <v>2113</v>
      </c>
      <c r="BG14" s="2"/>
      <c r="BH14" s="4">
        <v>6</v>
      </c>
      <c r="BI14" s="2">
        <v>40772</v>
      </c>
      <c r="BJ14" s="2">
        <v>34062</v>
      </c>
      <c r="BK14" s="17">
        <v>8424</v>
      </c>
      <c r="BL14" s="2"/>
      <c r="BM14" s="4">
        <v>6</v>
      </c>
      <c r="BN14" s="2">
        <v>34431</v>
      </c>
      <c r="BO14" s="2">
        <v>24355</v>
      </c>
      <c r="BP14" s="17">
        <v>6619</v>
      </c>
      <c r="BQ14" s="2"/>
      <c r="BR14" s="4">
        <v>6</v>
      </c>
      <c r="BS14" s="18"/>
      <c r="BT14" s="18"/>
      <c r="BU14" s="19"/>
      <c r="BV14" s="2"/>
      <c r="BW14" s="4">
        <v>6</v>
      </c>
      <c r="BX14" s="2">
        <v>16304</v>
      </c>
      <c r="BY14" s="2">
        <v>22324</v>
      </c>
      <c r="BZ14" s="17">
        <v>5245</v>
      </c>
    </row>
    <row r="15" spans="1:78" ht="15" customHeight="1" x14ac:dyDescent="0.25">
      <c r="D15" t="s">
        <v>21</v>
      </c>
      <c r="E15" s="4">
        <v>7</v>
      </c>
      <c r="F15" s="2">
        <v>9915</v>
      </c>
      <c r="G15" s="2">
        <v>18678</v>
      </c>
      <c r="H15" s="17">
        <v>5198</v>
      </c>
      <c r="I15" s="2"/>
      <c r="J15" s="4">
        <v>7</v>
      </c>
      <c r="K15" s="18"/>
      <c r="L15" s="18"/>
      <c r="M15" s="19"/>
      <c r="N15" s="2"/>
      <c r="O15" s="4">
        <v>7</v>
      </c>
      <c r="P15" s="2">
        <v>48210</v>
      </c>
      <c r="Q15" s="2">
        <v>59390</v>
      </c>
      <c r="R15" s="17">
        <v>9908</v>
      </c>
      <c r="S15" s="2"/>
      <c r="T15" s="4">
        <v>7</v>
      </c>
      <c r="U15" s="2">
        <v>20811</v>
      </c>
      <c r="V15" s="2">
        <v>28289</v>
      </c>
      <c r="W15" s="17">
        <v>5900</v>
      </c>
      <c r="X15" s="2"/>
      <c r="Y15" s="4">
        <v>7</v>
      </c>
      <c r="Z15" s="2">
        <v>3564</v>
      </c>
      <c r="AA15" s="2">
        <v>8783</v>
      </c>
      <c r="AB15" s="17">
        <v>2817</v>
      </c>
      <c r="AC15" s="2"/>
      <c r="AD15" s="4">
        <v>7</v>
      </c>
      <c r="AE15" s="2">
        <v>14381</v>
      </c>
      <c r="AF15" s="2">
        <v>22222</v>
      </c>
      <c r="AG15" s="17">
        <v>5407</v>
      </c>
      <c r="AH15" s="2"/>
      <c r="AI15" s="4">
        <v>7</v>
      </c>
      <c r="AJ15" s="2">
        <v>35652</v>
      </c>
      <c r="AK15" s="2">
        <v>37049</v>
      </c>
      <c r="AL15" s="17">
        <v>8211</v>
      </c>
      <c r="AM15" s="2"/>
      <c r="AN15" s="4">
        <v>7</v>
      </c>
      <c r="AO15" s="2">
        <v>51942</v>
      </c>
      <c r="AP15" s="2">
        <v>53815</v>
      </c>
      <c r="AQ15" s="17">
        <v>9652</v>
      </c>
      <c r="AR15" s="2"/>
      <c r="AS15" s="4">
        <v>7</v>
      </c>
      <c r="AT15" s="2">
        <v>35390</v>
      </c>
      <c r="AU15" s="2">
        <v>49821</v>
      </c>
      <c r="AV15" s="17">
        <v>8395</v>
      </c>
      <c r="AW15" s="2"/>
      <c r="AX15" s="4">
        <v>7</v>
      </c>
      <c r="AY15" s="18"/>
      <c r="AZ15" s="18"/>
      <c r="BA15" s="19"/>
      <c r="BB15" s="2"/>
      <c r="BC15" s="4">
        <v>7</v>
      </c>
      <c r="BD15" s="18"/>
      <c r="BE15" s="18"/>
      <c r="BF15" s="19"/>
      <c r="BG15" s="2"/>
      <c r="BH15" s="4">
        <v>7</v>
      </c>
      <c r="BI15" s="2">
        <v>46077</v>
      </c>
      <c r="BJ15" s="2">
        <v>60329</v>
      </c>
      <c r="BK15" s="17">
        <v>9645</v>
      </c>
      <c r="BL15" s="2"/>
      <c r="BM15" s="4">
        <v>7</v>
      </c>
      <c r="BN15" s="2">
        <v>40124</v>
      </c>
      <c r="BO15" s="2">
        <v>30961</v>
      </c>
      <c r="BP15" s="17">
        <v>8640</v>
      </c>
      <c r="BQ15" s="2"/>
      <c r="BR15" s="4">
        <v>7</v>
      </c>
      <c r="BW15" s="4">
        <v>7</v>
      </c>
      <c r="BX15" s="2">
        <v>35108</v>
      </c>
      <c r="BY15" s="2">
        <v>39482</v>
      </c>
      <c r="BZ15" s="17">
        <v>9295</v>
      </c>
    </row>
    <row r="16" spans="1:78" ht="15" customHeight="1" x14ac:dyDescent="0.25">
      <c r="D16" t="s">
        <v>22</v>
      </c>
      <c r="E16" s="4">
        <v>7</v>
      </c>
      <c r="F16" s="2">
        <v>6041</v>
      </c>
      <c r="G16" s="2">
        <v>12679</v>
      </c>
      <c r="H16" s="17">
        <v>3250</v>
      </c>
      <c r="I16" s="2"/>
      <c r="J16" s="4">
        <v>7</v>
      </c>
      <c r="K16" s="18"/>
      <c r="L16" s="18"/>
      <c r="M16" s="19"/>
      <c r="N16" s="2"/>
      <c r="O16" s="4">
        <v>7</v>
      </c>
      <c r="P16" s="2">
        <v>34567</v>
      </c>
      <c r="Q16" s="2">
        <v>31357</v>
      </c>
      <c r="R16" s="17">
        <v>8276</v>
      </c>
      <c r="S16" s="2"/>
      <c r="T16" s="4">
        <v>7</v>
      </c>
      <c r="U16" s="2">
        <v>22949</v>
      </c>
      <c r="V16" s="2">
        <v>30263</v>
      </c>
      <c r="W16" s="17">
        <v>5936</v>
      </c>
      <c r="X16" s="2"/>
      <c r="Y16" s="4">
        <v>7</v>
      </c>
      <c r="Z16" s="2">
        <v>2135</v>
      </c>
      <c r="AA16" s="2">
        <v>6583</v>
      </c>
      <c r="AB16" s="17">
        <v>1705</v>
      </c>
      <c r="AC16" s="2"/>
      <c r="AD16" s="4">
        <v>7</v>
      </c>
      <c r="AE16" s="2">
        <v>8026</v>
      </c>
      <c r="AF16" s="2">
        <v>16846</v>
      </c>
      <c r="AG16" s="17">
        <v>3793</v>
      </c>
      <c r="AH16" s="2"/>
      <c r="AI16" s="4">
        <v>7</v>
      </c>
      <c r="AJ16" s="2">
        <v>26932</v>
      </c>
      <c r="AK16" s="2">
        <v>23412</v>
      </c>
      <c r="AL16" s="17">
        <v>5949</v>
      </c>
      <c r="AM16" s="2"/>
      <c r="AN16" s="4">
        <v>7</v>
      </c>
      <c r="AO16" s="2">
        <v>43683</v>
      </c>
      <c r="AP16" s="2">
        <v>44543</v>
      </c>
      <c r="AQ16" s="17">
        <v>8153</v>
      </c>
      <c r="AR16" s="2"/>
      <c r="AS16" s="4">
        <v>7</v>
      </c>
      <c r="AT16" s="2">
        <v>41038</v>
      </c>
      <c r="AU16" s="2">
        <v>31856</v>
      </c>
      <c r="AV16" s="17">
        <v>8200</v>
      </c>
      <c r="AW16" s="2"/>
      <c r="AX16" s="4">
        <v>7</v>
      </c>
      <c r="AY16" s="18"/>
      <c r="AZ16" s="18"/>
      <c r="BA16" s="19"/>
      <c r="BB16" s="2"/>
      <c r="BC16" s="4">
        <v>7</v>
      </c>
      <c r="BD16" s="18"/>
      <c r="BE16" s="18"/>
      <c r="BF16" s="19"/>
      <c r="BG16" s="2"/>
      <c r="BH16" s="4">
        <v>7</v>
      </c>
      <c r="BI16" s="2">
        <v>41364</v>
      </c>
      <c r="BJ16" s="2">
        <v>37786</v>
      </c>
      <c r="BK16" s="17">
        <v>8079</v>
      </c>
      <c r="BL16" s="2"/>
      <c r="BM16" s="4">
        <v>7</v>
      </c>
      <c r="BN16" s="2">
        <v>35542</v>
      </c>
      <c r="BO16" s="2">
        <v>33158</v>
      </c>
      <c r="BP16" s="17">
        <v>7618</v>
      </c>
      <c r="BQ16" s="2"/>
      <c r="BR16" s="4">
        <v>7</v>
      </c>
      <c r="BW16" s="4">
        <v>7</v>
      </c>
      <c r="BX16" s="2">
        <v>29849</v>
      </c>
      <c r="BY16" s="2">
        <v>31386</v>
      </c>
      <c r="BZ16" s="17">
        <v>7461</v>
      </c>
    </row>
    <row r="17" spans="4:78" ht="15" customHeight="1" x14ac:dyDescent="0.25">
      <c r="D17" t="s">
        <v>21</v>
      </c>
      <c r="E17" s="4">
        <v>8</v>
      </c>
      <c r="F17" s="18"/>
      <c r="G17" s="18"/>
      <c r="H17" s="19"/>
      <c r="I17" s="2"/>
      <c r="J17" s="4">
        <v>8</v>
      </c>
      <c r="K17" s="2">
        <v>20305</v>
      </c>
      <c r="L17" s="2">
        <v>30046</v>
      </c>
      <c r="M17" s="17">
        <v>7563</v>
      </c>
      <c r="N17" s="2"/>
      <c r="O17" s="4">
        <v>8</v>
      </c>
      <c r="P17" s="53"/>
      <c r="Q17" s="53"/>
      <c r="R17" s="54"/>
      <c r="S17" s="2"/>
      <c r="T17" s="4">
        <v>8</v>
      </c>
      <c r="U17" s="2">
        <v>31300</v>
      </c>
      <c r="V17" s="2">
        <v>34497</v>
      </c>
      <c r="W17" s="17">
        <v>7450</v>
      </c>
      <c r="X17" s="2"/>
      <c r="Y17" s="4">
        <v>8</v>
      </c>
      <c r="Z17" s="18"/>
      <c r="AA17" s="18"/>
      <c r="AB17" s="19"/>
      <c r="AC17" s="2"/>
      <c r="AD17" s="4">
        <v>8</v>
      </c>
      <c r="AE17" s="2">
        <v>22530</v>
      </c>
      <c r="AF17" s="2">
        <v>27745</v>
      </c>
      <c r="AG17" s="17">
        <v>5745</v>
      </c>
      <c r="AH17" s="2"/>
      <c r="AI17" s="4">
        <v>8</v>
      </c>
      <c r="AJ17" s="2">
        <v>35911</v>
      </c>
      <c r="AK17" s="2">
        <v>35532</v>
      </c>
      <c r="AL17" s="17">
        <v>7598</v>
      </c>
      <c r="AM17" s="2"/>
      <c r="AN17" s="4">
        <v>8</v>
      </c>
      <c r="AO17" s="18"/>
      <c r="AP17" s="18"/>
      <c r="AQ17" s="19"/>
      <c r="AR17" s="2"/>
      <c r="AS17" s="4">
        <v>8</v>
      </c>
      <c r="AT17" s="2">
        <v>33872</v>
      </c>
      <c r="AU17" s="2">
        <v>46381</v>
      </c>
      <c r="AV17" s="17">
        <v>7668</v>
      </c>
      <c r="AW17" s="2"/>
      <c r="AX17" s="4">
        <v>8</v>
      </c>
      <c r="AY17" s="2">
        <v>21680</v>
      </c>
      <c r="AZ17" s="2">
        <v>23100</v>
      </c>
      <c r="BA17" s="17">
        <v>6138</v>
      </c>
      <c r="BB17" s="2"/>
      <c r="BC17" s="4">
        <v>8</v>
      </c>
      <c r="BH17" s="4">
        <v>8</v>
      </c>
      <c r="BI17" s="2">
        <v>52453</v>
      </c>
      <c r="BJ17" s="2">
        <v>39633</v>
      </c>
      <c r="BK17" s="17">
        <v>8540</v>
      </c>
      <c r="BL17" s="2"/>
      <c r="BM17" s="4">
        <v>8</v>
      </c>
      <c r="BN17" s="2">
        <v>28236</v>
      </c>
      <c r="BO17" s="2">
        <v>27683</v>
      </c>
      <c r="BP17" s="17">
        <v>7011</v>
      </c>
      <c r="BQ17" s="2"/>
      <c r="BR17" s="4">
        <v>8</v>
      </c>
      <c r="BW17" s="4">
        <v>8</v>
      </c>
      <c r="BX17" s="2">
        <v>26946</v>
      </c>
      <c r="BY17" s="2">
        <v>44542</v>
      </c>
      <c r="BZ17" s="17">
        <v>8361</v>
      </c>
    </row>
    <row r="18" spans="4:78" ht="15" customHeight="1" x14ac:dyDescent="0.25">
      <c r="D18" t="s">
        <v>22</v>
      </c>
      <c r="E18" s="4">
        <v>8</v>
      </c>
      <c r="F18" s="18"/>
      <c r="G18" s="18"/>
      <c r="H18" s="19"/>
      <c r="I18" s="2"/>
      <c r="J18" s="4">
        <v>8</v>
      </c>
      <c r="K18" s="2">
        <v>18689</v>
      </c>
      <c r="L18" s="2">
        <v>24579</v>
      </c>
      <c r="M18" s="17">
        <v>5542</v>
      </c>
      <c r="N18" s="2"/>
      <c r="O18" s="4">
        <v>8</v>
      </c>
      <c r="P18" s="2">
        <v>15923</v>
      </c>
      <c r="Q18" s="2">
        <v>18151</v>
      </c>
      <c r="R18" s="17">
        <v>5022</v>
      </c>
      <c r="S18" s="2"/>
      <c r="T18" s="4">
        <v>8</v>
      </c>
      <c r="U18" s="2">
        <v>27080</v>
      </c>
      <c r="V18" s="2">
        <v>23829</v>
      </c>
      <c r="W18" s="17">
        <v>6641</v>
      </c>
      <c r="X18" s="2"/>
      <c r="Y18" s="4">
        <v>8</v>
      </c>
      <c r="Z18" s="18"/>
      <c r="AA18" s="18"/>
      <c r="AB18" s="19"/>
      <c r="AC18" s="2"/>
      <c r="AD18" s="4">
        <v>8</v>
      </c>
      <c r="AE18" s="2">
        <v>15093</v>
      </c>
      <c r="AF18" s="2">
        <v>24463</v>
      </c>
      <c r="AG18" s="17">
        <v>6405</v>
      </c>
      <c r="AH18" s="2"/>
      <c r="AI18" s="4">
        <v>8</v>
      </c>
      <c r="AJ18" s="2">
        <v>31736</v>
      </c>
      <c r="AK18" s="2">
        <v>28700</v>
      </c>
      <c r="AL18" s="17">
        <v>7444</v>
      </c>
      <c r="AM18" s="2"/>
      <c r="AN18" s="4">
        <v>8</v>
      </c>
      <c r="AO18" s="18"/>
      <c r="AP18" s="18"/>
      <c r="AQ18" s="19"/>
      <c r="AR18" s="2"/>
      <c r="AS18" s="4">
        <v>8</v>
      </c>
      <c r="AT18" s="2">
        <v>30799</v>
      </c>
      <c r="AU18" s="2">
        <v>36377</v>
      </c>
      <c r="AV18" s="17">
        <v>6795</v>
      </c>
      <c r="AW18" s="2"/>
      <c r="AX18" s="4">
        <v>8</v>
      </c>
      <c r="AY18" s="2">
        <v>15923</v>
      </c>
      <c r="AZ18" s="2">
        <v>20578</v>
      </c>
      <c r="BA18" s="17">
        <v>5817</v>
      </c>
      <c r="BB18" s="2"/>
      <c r="BC18" s="4">
        <v>8</v>
      </c>
      <c r="BH18" s="4">
        <v>8</v>
      </c>
      <c r="BI18" s="2">
        <v>42183</v>
      </c>
      <c r="BJ18" s="2">
        <v>30946</v>
      </c>
      <c r="BK18" s="17">
        <v>8678</v>
      </c>
      <c r="BL18" s="2"/>
      <c r="BM18" s="4">
        <v>8</v>
      </c>
      <c r="BN18" s="2">
        <v>22883</v>
      </c>
      <c r="BO18" s="2">
        <v>19592</v>
      </c>
      <c r="BP18" s="17">
        <v>5616</v>
      </c>
      <c r="BQ18" s="2"/>
      <c r="BR18" s="4">
        <v>8</v>
      </c>
      <c r="BW18" s="4">
        <v>8</v>
      </c>
      <c r="BX18" s="2">
        <v>21967</v>
      </c>
      <c r="BY18" s="2">
        <v>26558</v>
      </c>
      <c r="BZ18" s="17">
        <v>6852</v>
      </c>
    </row>
    <row r="19" spans="4:78" ht="15" customHeight="1" x14ac:dyDescent="0.25">
      <c r="D19" t="s">
        <v>21</v>
      </c>
      <c r="E19" s="4">
        <v>9</v>
      </c>
      <c r="F19" s="2">
        <v>15260</v>
      </c>
      <c r="G19" s="2">
        <v>24009</v>
      </c>
      <c r="H19" s="17">
        <v>5071</v>
      </c>
      <c r="I19" s="2"/>
      <c r="J19" s="4">
        <v>9</v>
      </c>
      <c r="K19" s="2">
        <v>18221</v>
      </c>
      <c r="L19" s="2">
        <v>36447</v>
      </c>
      <c r="M19" s="17">
        <v>7247</v>
      </c>
      <c r="N19" s="2"/>
      <c r="O19" s="4">
        <v>9</v>
      </c>
      <c r="P19" s="2">
        <v>42152</v>
      </c>
      <c r="Q19" s="2">
        <v>48882</v>
      </c>
      <c r="R19" s="17">
        <v>9037</v>
      </c>
      <c r="S19" s="2"/>
      <c r="T19" s="4">
        <v>9</v>
      </c>
      <c r="U19" s="2">
        <v>35707</v>
      </c>
      <c r="V19" s="2">
        <v>37333</v>
      </c>
      <c r="W19" s="17">
        <v>8756</v>
      </c>
      <c r="X19" s="2"/>
      <c r="Y19" s="4">
        <v>9</v>
      </c>
      <c r="Z19" s="18"/>
      <c r="AA19" s="18"/>
      <c r="AB19" s="19"/>
      <c r="AC19" s="2"/>
      <c r="AD19" s="4">
        <v>9</v>
      </c>
      <c r="AE19" s="2">
        <v>10130</v>
      </c>
      <c r="AF19" s="2">
        <v>19365</v>
      </c>
      <c r="AG19" s="17">
        <v>6210</v>
      </c>
      <c r="AH19" s="2"/>
      <c r="AI19" s="4">
        <v>9</v>
      </c>
      <c r="AJ19" s="2">
        <v>34040</v>
      </c>
      <c r="AK19" s="2">
        <v>35922</v>
      </c>
      <c r="AL19" s="17">
        <v>8211</v>
      </c>
      <c r="AM19" s="2"/>
      <c r="AN19" s="4">
        <v>9</v>
      </c>
      <c r="AO19" s="2">
        <v>35666</v>
      </c>
      <c r="AP19" s="2">
        <v>48420</v>
      </c>
      <c r="AQ19" s="17">
        <v>8419</v>
      </c>
      <c r="AR19" s="2"/>
      <c r="AS19" s="4">
        <v>9</v>
      </c>
      <c r="AT19" s="2">
        <v>49784</v>
      </c>
      <c r="AU19" s="2">
        <v>47707</v>
      </c>
      <c r="AV19" s="17">
        <v>10228</v>
      </c>
      <c r="AW19" s="2"/>
      <c r="AX19" s="4">
        <v>9</v>
      </c>
      <c r="AY19" s="18"/>
      <c r="AZ19" s="18"/>
      <c r="BA19" s="19"/>
      <c r="BB19" s="2"/>
      <c r="BC19" s="4">
        <v>9</v>
      </c>
      <c r="BH19" s="4">
        <v>9</v>
      </c>
      <c r="BI19" s="2">
        <v>44625</v>
      </c>
      <c r="BJ19" s="2">
        <v>43898</v>
      </c>
      <c r="BK19" s="17">
        <v>10104</v>
      </c>
      <c r="BL19" s="2"/>
      <c r="BM19" s="4">
        <v>9</v>
      </c>
      <c r="BR19" s="4">
        <v>9</v>
      </c>
      <c r="BW19" s="4">
        <v>9</v>
      </c>
      <c r="BX19" s="2">
        <v>26329</v>
      </c>
      <c r="BY19" s="2">
        <v>43155</v>
      </c>
      <c r="BZ19" s="17">
        <v>8501</v>
      </c>
    </row>
    <row r="20" spans="4:78" ht="15" customHeight="1" x14ac:dyDescent="0.25">
      <c r="D20" t="s">
        <v>22</v>
      </c>
      <c r="E20" s="4">
        <v>9</v>
      </c>
      <c r="F20" s="2">
        <v>11068</v>
      </c>
      <c r="G20" s="2">
        <v>21939</v>
      </c>
      <c r="H20" s="17">
        <v>5053</v>
      </c>
      <c r="I20" s="2"/>
      <c r="J20" s="4">
        <v>9</v>
      </c>
      <c r="K20" s="2">
        <v>18056</v>
      </c>
      <c r="L20" s="2">
        <v>25898</v>
      </c>
      <c r="M20" s="17">
        <v>5751</v>
      </c>
      <c r="N20" s="2"/>
      <c r="O20" s="4">
        <v>9</v>
      </c>
      <c r="P20" s="2">
        <v>39875</v>
      </c>
      <c r="Q20" s="2">
        <v>38078</v>
      </c>
      <c r="R20" s="17">
        <v>8413</v>
      </c>
      <c r="S20" s="2"/>
      <c r="T20" s="4">
        <v>9</v>
      </c>
      <c r="U20" s="2">
        <v>25279</v>
      </c>
      <c r="V20" s="2">
        <v>24143</v>
      </c>
      <c r="W20" s="17">
        <v>6209</v>
      </c>
      <c r="X20" s="2"/>
      <c r="Y20" s="4">
        <v>9</v>
      </c>
      <c r="Z20" s="18"/>
      <c r="AA20" s="18"/>
      <c r="AB20" s="19"/>
      <c r="AC20" s="2"/>
      <c r="AD20" s="4">
        <v>9</v>
      </c>
      <c r="AE20" s="2">
        <v>6573</v>
      </c>
      <c r="AF20" s="2">
        <v>10440</v>
      </c>
      <c r="AG20" s="17">
        <v>3725</v>
      </c>
      <c r="AH20" s="2"/>
      <c r="AI20" s="4">
        <v>9</v>
      </c>
      <c r="AJ20" s="2">
        <v>26791</v>
      </c>
      <c r="AK20" s="2">
        <v>28150</v>
      </c>
      <c r="AL20" s="17">
        <v>6840</v>
      </c>
      <c r="AM20" s="2"/>
      <c r="AN20" s="4">
        <v>9</v>
      </c>
      <c r="AO20" s="2">
        <v>35404</v>
      </c>
      <c r="AP20" s="2">
        <v>42403</v>
      </c>
      <c r="AQ20" s="17">
        <v>8190</v>
      </c>
      <c r="AR20" s="2"/>
      <c r="AS20" s="4">
        <v>9</v>
      </c>
      <c r="AT20" s="2">
        <v>42288</v>
      </c>
      <c r="AU20" s="2">
        <v>37892</v>
      </c>
      <c r="AV20" s="17">
        <v>8543</v>
      </c>
      <c r="AW20" s="2"/>
      <c r="AX20" s="4">
        <v>9</v>
      </c>
      <c r="AY20" s="18"/>
      <c r="AZ20" s="18"/>
      <c r="BA20" s="19"/>
      <c r="BB20" s="2"/>
      <c r="BC20" s="4">
        <v>9</v>
      </c>
      <c r="BH20" s="4">
        <v>9</v>
      </c>
      <c r="BI20" s="2">
        <v>32461</v>
      </c>
      <c r="BJ20" s="2">
        <v>25947</v>
      </c>
      <c r="BK20" s="17">
        <v>7148</v>
      </c>
      <c r="BL20" s="2"/>
      <c r="BM20" s="4">
        <v>9</v>
      </c>
      <c r="BR20" s="4">
        <v>9</v>
      </c>
      <c r="BW20" s="4">
        <v>9</v>
      </c>
      <c r="BX20" s="2">
        <v>20803</v>
      </c>
      <c r="BY20" s="2">
        <v>21080</v>
      </c>
      <c r="BZ20" s="17">
        <v>5910</v>
      </c>
    </row>
    <row r="21" spans="4:78" ht="15" customHeight="1" x14ac:dyDescent="0.25">
      <c r="D21" t="s">
        <v>21</v>
      </c>
      <c r="E21" s="4">
        <v>10</v>
      </c>
      <c r="F21" s="2">
        <v>22680</v>
      </c>
      <c r="G21" s="2">
        <v>35150</v>
      </c>
      <c r="H21" s="17">
        <v>7398</v>
      </c>
      <c r="I21" s="2"/>
      <c r="J21" s="4">
        <v>10</v>
      </c>
      <c r="K21" s="2">
        <v>17736</v>
      </c>
      <c r="L21" s="2">
        <v>37196</v>
      </c>
      <c r="M21" s="17">
        <v>6664</v>
      </c>
      <c r="N21" s="2"/>
      <c r="O21" s="4">
        <v>10</v>
      </c>
      <c r="P21" s="2">
        <v>37413</v>
      </c>
      <c r="Q21" s="2">
        <v>41100</v>
      </c>
      <c r="R21" s="17">
        <v>8429</v>
      </c>
      <c r="S21" s="2"/>
      <c r="T21" s="4">
        <v>10</v>
      </c>
      <c r="U21" s="2">
        <v>21125</v>
      </c>
      <c r="V21" s="2">
        <v>24022</v>
      </c>
      <c r="W21" s="17">
        <v>6032</v>
      </c>
      <c r="X21" s="2"/>
      <c r="Y21" s="4">
        <v>10</v>
      </c>
      <c r="Z21" s="18"/>
      <c r="AA21" s="18"/>
      <c r="AB21" s="19"/>
      <c r="AC21" s="2"/>
      <c r="AD21" s="4">
        <v>10</v>
      </c>
      <c r="AE21" s="2">
        <v>17354</v>
      </c>
      <c r="AF21" s="2">
        <v>32076</v>
      </c>
      <c r="AG21" s="17">
        <v>6089</v>
      </c>
      <c r="AH21" s="2"/>
      <c r="AI21" s="4">
        <v>10</v>
      </c>
      <c r="AJ21" s="2">
        <v>32143</v>
      </c>
      <c r="AK21" s="2">
        <v>28495</v>
      </c>
      <c r="AL21" s="17">
        <v>7050</v>
      </c>
      <c r="AM21" s="2"/>
      <c r="AN21" s="4">
        <v>10</v>
      </c>
      <c r="AO21" s="2">
        <v>12407</v>
      </c>
      <c r="AP21" s="2">
        <v>20536</v>
      </c>
      <c r="AQ21" s="17">
        <v>4335</v>
      </c>
      <c r="AR21" s="2"/>
      <c r="AS21" s="4">
        <v>10</v>
      </c>
      <c r="AT21" s="2">
        <v>38635</v>
      </c>
      <c r="AU21" s="2">
        <v>42583</v>
      </c>
      <c r="AV21" s="17">
        <v>9358</v>
      </c>
      <c r="AW21" s="2"/>
      <c r="AX21" s="4">
        <v>10</v>
      </c>
      <c r="AY21" s="18"/>
      <c r="AZ21" s="18"/>
      <c r="BA21" s="19"/>
      <c r="BB21" s="2"/>
      <c r="BC21" s="4">
        <v>10</v>
      </c>
      <c r="BH21" s="4">
        <v>10</v>
      </c>
      <c r="BI21" s="2">
        <v>44794</v>
      </c>
      <c r="BJ21" s="2">
        <v>37717</v>
      </c>
      <c r="BK21" s="17">
        <v>9352</v>
      </c>
      <c r="BL21" s="2"/>
      <c r="BM21" s="4">
        <v>10</v>
      </c>
      <c r="BR21" s="4">
        <v>10</v>
      </c>
      <c r="BW21" s="4">
        <v>10</v>
      </c>
      <c r="BX21" s="2">
        <v>25851</v>
      </c>
      <c r="BY21" s="2">
        <v>40345</v>
      </c>
      <c r="BZ21" s="17">
        <v>7770</v>
      </c>
    </row>
    <row r="22" spans="4:78" ht="15" customHeight="1" x14ac:dyDescent="0.25">
      <c r="D22" t="s">
        <v>22</v>
      </c>
      <c r="E22" s="4">
        <v>10</v>
      </c>
      <c r="F22" s="2">
        <v>18823</v>
      </c>
      <c r="G22" s="2">
        <v>31051</v>
      </c>
      <c r="H22" s="17">
        <v>6423</v>
      </c>
      <c r="I22" s="2"/>
      <c r="J22" s="4">
        <v>10</v>
      </c>
      <c r="K22" s="2">
        <v>14143</v>
      </c>
      <c r="L22" s="2">
        <v>19947</v>
      </c>
      <c r="M22" s="17">
        <v>5264</v>
      </c>
      <c r="N22" s="2"/>
      <c r="O22" s="4">
        <v>10</v>
      </c>
      <c r="P22" s="2">
        <v>27430</v>
      </c>
      <c r="Q22" s="2">
        <v>27831</v>
      </c>
      <c r="R22" s="17">
        <v>6611</v>
      </c>
      <c r="S22" s="2"/>
      <c r="T22" s="4">
        <v>10</v>
      </c>
      <c r="U22" s="2">
        <v>18305</v>
      </c>
      <c r="V22" s="2">
        <v>24754</v>
      </c>
      <c r="W22" s="17">
        <v>5699</v>
      </c>
      <c r="X22" s="2"/>
      <c r="Y22" s="4">
        <v>10</v>
      </c>
      <c r="Z22" s="18"/>
      <c r="AA22" s="18"/>
      <c r="AB22" s="19"/>
      <c r="AC22" s="2"/>
      <c r="AD22" s="4">
        <v>10</v>
      </c>
      <c r="AE22" s="2">
        <v>13646</v>
      </c>
      <c r="AF22" s="2">
        <v>18741</v>
      </c>
      <c r="AG22" s="17">
        <v>5279</v>
      </c>
      <c r="AH22" s="2"/>
      <c r="AI22" s="4">
        <v>10</v>
      </c>
      <c r="AJ22" s="2">
        <v>24382</v>
      </c>
      <c r="AK22" s="2">
        <v>23390</v>
      </c>
      <c r="AL22" s="17">
        <v>6183</v>
      </c>
      <c r="AM22" s="2"/>
      <c r="AN22" s="4">
        <v>10</v>
      </c>
      <c r="AO22" s="2">
        <v>11061</v>
      </c>
      <c r="AP22" s="2">
        <v>18426</v>
      </c>
      <c r="AQ22" s="17">
        <v>4681</v>
      </c>
      <c r="AR22" s="2"/>
      <c r="AS22" s="4">
        <v>10</v>
      </c>
      <c r="AT22" s="2">
        <v>29922</v>
      </c>
      <c r="AU22" s="2">
        <v>26819</v>
      </c>
      <c r="AV22" s="17">
        <v>6385</v>
      </c>
      <c r="AW22" s="2"/>
      <c r="AX22" s="4">
        <v>10</v>
      </c>
      <c r="AY22" s="18"/>
      <c r="AZ22" s="18"/>
      <c r="BA22" s="19"/>
      <c r="BB22" s="2"/>
      <c r="BC22" s="4">
        <v>10</v>
      </c>
      <c r="BH22" s="4">
        <v>10</v>
      </c>
      <c r="BI22" s="2">
        <v>34317</v>
      </c>
      <c r="BJ22" s="2">
        <v>27766</v>
      </c>
      <c r="BK22" s="17">
        <v>7319</v>
      </c>
      <c r="BL22" s="2"/>
      <c r="BM22" s="4">
        <v>10</v>
      </c>
      <c r="BR22" s="4">
        <v>10</v>
      </c>
      <c r="BW22" s="4">
        <v>10</v>
      </c>
      <c r="BX22" s="2">
        <v>24150</v>
      </c>
      <c r="BY22" s="2">
        <v>29405</v>
      </c>
      <c r="BZ22" s="17">
        <v>6594</v>
      </c>
    </row>
    <row r="23" spans="4:78" ht="15" customHeight="1" x14ac:dyDescent="0.25">
      <c r="D23" t="s">
        <v>21</v>
      </c>
      <c r="E23" s="4">
        <v>11</v>
      </c>
      <c r="F23" s="18"/>
      <c r="G23" s="18"/>
      <c r="H23" s="19"/>
      <c r="I23" s="2"/>
      <c r="J23" s="4">
        <v>11</v>
      </c>
      <c r="K23" s="2">
        <v>23621</v>
      </c>
      <c r="L23" s="2">
        <v>33122</v>
      </c>
      <c r="M23" s="17">
        <v>7473</v>
      </c>
      <c r="N23" s="2"/>
      <c r="O23" s="4">
        <v>11</v>
      </c>
      <c r="P23" s="2">
        <v>23194</v>
      </c>
      <c r="Q23" s="2">
        <v>29718</v>
      </c>
      <c r="R23" s="17">
        <v>7411</v>
      </c>
      <c r="S23" s="2"/>
      <c r="T23" s="4">
        <v>11</v>
      </c>
      <c r="U23" s="2">
        <v>25441</v>
      </c>
      <c r="V23" s="2">
        <v>32813</v>
      </c>
      <c r="W23" s="17">
        <v>7982</v>
      </c>
      <c r="X23" s="2"/>
      <c r="Y23" s="4">
        <v>11</v>
      </c>
      <c r="Z23" s="18"/>
      <c r="AA23" s="18"/>
      <c r="AB23" s="19"/>
      <c r="AC23" s="2"/>
      <c r="AD23" s="4">
        <v>11</v>
      </c>
      <c r="AE23" s="2">
        <v>30396</v>
      </c>
      <c r="AF23" s="2">
        <v>41645</v>
      </c>
      <c r="AG23" s="17">
        <v>9819</v>
      </c>
      <c r="AH23" s="2"/>
      <c r="AI23" s="4">
        <v>11</v>
      </c>
      <c r="AJ23" s="2">
        <v>7557</v>
      </c>
      <c r="AK23" s="2">
        <v>16901</v>
      </c>
      <c r="AL23" s="17">
        <v>3561</v>
      </c>
      <c r="AM23" s="2"/>
      <c r="AN23" s="4">
        <v>11</v>
      </c>
      <c r="AO23" s="2">
        <v>33852</v>
      </c>
      <c r="AP23" s="2">
        <v>43398</v>
      </c>
      <c r="AQ23" s="17">
        <v>7224</v>
      </c>
      <c r="AR23" s="2"/>
      <c r="AS23" s="4">
        <v>11</v>
      </c>
      <c r="AT23" s="2">
        <v>38417</v>
      </c>
      <c r="AU23" s="2">
        <v>44574</v>
      </c>
      <c r="AV23" s="17">
        <v>9294</v>
      </c>
      <c r="AW23" s="2"/>
      <c r="AX23" s="4">
        <v>11</v>
      </c>
      <c r="AY23" s="3"/>
      <c r="AZ23" s="3"/>
      <c r="BA23" s="22"/>
      <c r="BC23" s="4">
        <v>11</v>
      </c>
      <c r="BH23" s="4">
        <v>11</v>
      </c>
      <c r="BI23" s="2">
        <v>55683</v>
      </c>
      <c r="BJ23" s="2">
        <v>44271</v>
      </c>
      <c r="BK23" s="17">
        <v>9299</v>
      </c>
      <c r="BL23" s="2"/>
      <c r="BM23" s="4">
        <v>11</v>
      </c>
      <c r="BR23" s="4">
        <v>11</v>
      </c>
      <c r="BW23" s="4">
        <v>11</v>
      </c>
      <c r="BX23" s="2">
        <v>28625</v>
      </c>
      <c r="BY23" s="2">
        <v>32750</v>
      </c>
      <c r="BZ23" s="17">
        <v>8272</v>
      </c>
    </row>
    <row r="24" spans="4:78" ht="15" customHeight="1" x14ac:dyDescent="0.25">
      <c r="D24" t="s">
        <v>22</v>
      </c>
      <c r="E24" s="4">
        <v>11</v>
      </c>
      <c r="F24" s="18"/>
      <c r="G24" s="18"/>
      <c r="H24" s="19"/>
      <c r="I24" s="2"/>
      <c r="J24" s="4">
        <v>11</v>
      </c>
      <c r="K24" s="2">
        <v>17837</v>
      </c>
      <c r="L24" s="2">
        <v>24882</v>
      </c>
      <c r="M24" s="17">
        <v>5528</v>
      </c>
      <c r="N24" s="2"/>
      <c r="O24" s="4">
        <v>11</v>
      </c>
      <c r="P24" s="2">
        <v>17510</v>
      </c>
      <c r="Q24" s="2">
        <v>22180</v>
      </c>
      <c r="R24" s="17">
        <v>5731</v>
      </c>
      <c r="S24" s="2"/>
      <c r="T24" s="4">
        <v>11</v>
      </c>
      <c r="U24" s="2">
        <v>16019</v>
      </c>
      <c r="V24" s="2">
        <v>24210</v>
      </c>
      <c r="W24" s="17">
        <v>5133</v>
      </c>
      <c r="X24" s="2"/>
      <c r="Y24" s="4">
        <v>11</v>
      </c>
      <c r="Z24" s="18"/>
      <c r="AA24" s="18"/>
      <c r="AB24" s="19"/>
      <c r="AC24" s="2"/>
      <c r="AD24" s="4">
        <v>11</v>
      </c>
      <c r="AE24" s="2">
        <v>21451</v>
      </c>
      <c r="AF24" s="2">
        <v>23511</v>
      </c>
      <c r="AG24" s="17">
        <v>5788</v>
      </c>
      <c r="AH24" s="2"/>
      <c r="AI24" s="4">
        <v>11</v>
      </c>
      <c r="AJ24" s="2">
        <v>8259</v>
      </c>
      <c r="AK24" s="2">
        <v>14477</v>
      </c>
      <c r="AL24" s="17">
        <v>3721</v>
      </c>
      <c r="AM24" s="2"/>
      <c r="AN24" s="4">
        <v>11</v>
      </c>
      <c r="AO24" s="2">
        <v>30948</v>
      </c>
      <c r="AP24" s="2">
        <v>32108</v>
      </c>
      <c r="AQ24" s="17">
        <v>6315</v>
      </c>
      <c r="AR24" s="2"/>
      <c r="AS24" s="4">
        <v>11</v>
      </c>
      <c r="AT24" s="2">
        <v>28876</v>
      </c>
      <c r="AU24" s="2">
        <v>27805</v>
      </c>
      <c r="AV24" s="17">
        <v>6766</v>
      </c>
      <c r="AW24" s="2"/>
      <c r="AX24" s="4">
        <v>11</v>
      </c>
      <c r="AY24" s="3"/>
      <c r="AZ24" s="3"/>
      <c r="BA24" s="22"/>
      <c r="BC24" s="4">
        <v>11</v>
      </c>
      <c r="BH24" s="4">
        <v>11</v>
      </c>
      <c r="BI24" s="2">
        <v>47425</v>
      </c>
      <c r="BJ24" s="2">
        <v>35524</v>
      </c>
      <c r="BK24" s="17">
        <v>8795</v>
      </c>
      <c r="BL24" s="2"/>
      <c r="BM24" s="4">
        <v>11</v>
      </c>
      <c r="BR24" s="4">
        <v>11</v>
      </c>
      <c r="BW24" s="4">
        <v>11</v>
      </c>
      <c r="BX24" s="2">
        <v>26769</v>
      </c>
      <c r="BY24" s="2">
        <v>31968</v>
      </c>
      <c r="BZ24" s="17">
        <v>6438</v>
      </c>
    </row>
    <row r="25" spans="4:78" ht="15" customHeight="1" x14ac:dyDescent="0.25">
      <c r="D25" t="s">
        <v>21</v>
      </c>
      <c r="E25" s="4">
        <v>12</v>
      </c>
      <c r="F25" s="18"/>
      <c r="G25" s="18"/>
      <c r="H25" s="19"/>
      <c r="I25" s="2"/>
      <c r="J25" s="4">
        <v>12</v>
      </c>
      <c r="K25" s="18"/>
      <c r="L25" s="18"/>
      <c r="M25" s="19"/>
      <c r="N25" s="2"/>
      <c r="O25" s="4">
        <v>12</v>
      </c>
      <c r="P25" s="2">
        <v>39698</v>
      </c>
      <c r="Q25" s="2">
        <v>41736</v>
      </c>
      <c r="R25" s="17">
        <v>8514</v>
      </c>
      <c r="S25" s="2"/>
      <c r="T25" s="4">
        <v>12</v>
      </c>
      <c r="U25" s="2">
        <v>28119</v>
      </c>
      <c r="V25" s="2">
        <v>32848</v>
      </c>
      <c r="W25" s="17">
        <v>7632</v>
      </c>
      <c r="X25" s="2"/>
      <c r="Y25" s="4">
        <v>12</v>
      </c>
      <c r="Z25" s="2">
        <v>14328</v>
      </c>
      <c r="AA25" s="2">
        <v>23441</v>
      </c>
      <c r="AB25" s="17">
        <v>5793</v>
      </c>
      <c r="AC25" s="2"/>
      <c r="AD25" s="4">
        <v>12</v>
      </c>
      <c r="AE25" s="2">
        <v>16281</v>
      </c>
      <c r="AF25" s="2">
        <v>29805</v>
      </c>
      <c r="AG25" s="17">
        <v>5852</v>
      </c>
      <c r="AH25" s="2"/>
      <c r="AI25" s="4">
        <v>12</v>
      </c>
      <c r="AJ25" s="2">
        <v>34790</v>
      </c>
      <c r="AK25" s="2">
        <v>32175</v>
      </c>
      <c r="AL25" s="17">
        <v>7331</v>
      </c>
      <c r="AM25" s="2"/>
      <c r="AN25" s="4">
        <v>12</v>
      </c>
      <c r="AO25" s="2">
        <v>34894</v>
      </c>
      <c r="AP25" s="2">
        <v>44068</v>
      </c>
      <c r="AQ25" s="17">
        <v>8194</v>
      </c>
      <c r="AR25" s="2"/>
      <c r="AS25" s="4">
        <v>12</v>
      </c>
      <c r="AT25" s="2">
        <v>30651</v>
      </c>
      <c r="AU25" s="2">
        <v>46591</v>
      </c>
      <c r="AV25" s="17">
        <v>8287</v>
      </c>
      <c r="AW25" s="2"/>
      <c r="AX25" s="4">
        <v>12</v>
      </c>
      <c r="AY25" s="18"/>
      <c r="AZ25" s="18"/>
      <c r="BA25" s="19"/>
      <c r="BB25" s="2"/>
      <c r="BC25" s="4">
        <v>12</v>
      </c>
      <c r="BH25" s="4">
        <v>12</v>
      </c>
      <c r="BI25" s="2">
        <v>41333</v>
      </c>
      <c r="BJ25" s="2">
        <v>47299</v>
      </c>
      <c r="BK25" s="17">
        <v>8853</v>
      </c>
      <c r="BL25" s="2"/>
      <c r="BM25" s="4">
        <v>12</v>
      </c>
      <c r="BR25" s="4">
        <v>12</v>
      </c>
      <c r="BW25" s="4">
        <v>12</v>
      </c>
      <c r="BX25" s="18"/>
      <c r="BY25" s="18"/>
      <c r="BZ25" s="19"/>
    </row>
    <row r="26" spans="4:78" ht="15" customHeight="1" x14ac:dyDescent="0.25">
      <c r="D26" t="s">
        <v>22</v>
      </c>
      <c r="E26" s="4">
        <v>12</v>
      </c>
      <c r="F26" s="18"/>
      <c r="G26" s="18"/>
      <c r="H26" s="19"/>
      <c r="I26" s="2"/>
      <c r="J26" s="4">
        <v>12</v>
      </c>
      <c r="K26" s="18"/>
      <c r="L26" s="18"/>
      <c r="M26" s="19"/>
      <c r="N26" s="2"/>
      <c r="O26" s="4">
        <v>12</v>
      </c>
      <c r="P26" s="2">
        <v>37584</v>
      </c>
      <c r="Q26" s="2">
        <v>43078</v>
      </c>
      <c r="R26" s="17">
        <v>8784</v>
      </c>
      <c r="S26" s="2"/>
      <c r="T26" s="4">
        <v>12</v>
      </c>
      <c r="U26" s="2">
        <v>21658</v>
      </c>
      <c r="V26" s="2">
        <v>24811</v>
      </c>
      <c r="W26" s="17">
        <v>6423</v>
      </c>
      <c r="X26" s="2"/>
      <c r="Y26" s="4">
        <v>12</v>
      </c>
      <c r="Z26" s="2">
        <v>11665</v>
      </c>
      <c r="AA26" s="2">
        <v>23837</v>
      </c>
      <c r="AB26" s="17">
        <v>5374</v>
      </c>
      <c r="AC26" s="2"/>
      <c r="AD26" s="4">
        <v>12</v>
      </c>
      <c r="AE26" s="2">
        <v>11510</v>
      </c>
      <c r="AF26" s="2">
        <v>16606</v>
      </c>
      <c r="AG26" s="17">
        <v>4817</v>
      </c>
      <c r="AH26" s="2"/>
      <c r="AI26" s="4">
        <v>12</v>
      </c>
      <c r="AJ26" s="2">
        <v>32725</v>
      </c>
      <c r="AK26" s="2">
        <v>33996</v>
      </c>
      <c r="AL26" s="17">
        <v>7277</v>
      </c>
      <c r="AM26" s="2"/>
      <c r="AN26" s="4">
        <v>12</v>
      </c>
      <c r="AO26" s="2">
        <v>36115</v>
      </c>
      <c r="AP26" s="2">
        <v>31739</v>
      </c>
      <c r="AQ26" s="17">
        <v>7415</v>
      </c>
      <c r="AR26" s="2"/>
      <c r="AS26" s="4">
        <v>12</v>
      </c>
      <c r="AT26" s="2">
        <v>25921</v>
      </c>
      <c r="AU26" s="2">
        <v>29484</v>
      </c>
      <c r="AV26" s="17">
        <v>6357</v>
      </c>
      <c r="AW26" s="2"/>
      <c r="AX26" s="4">
        <v>12</v>
      </c>
      <c r="AY26" s="18"/>
      <c r="AZ26" s="18"/>
      <c r="BA26" s="19"/>
      <c r="BB26" s="2"/>
      <c r="BC26" s="4">
        <v>12</v>
      </c>
      <c r="BH26" s="4">
        <v>12</v>
      </c>
      <c r="BI26" s="2">
        <v>30275</v>
      </c>
      <c r="BJ26" s="2">
        <v>27385</v>
      </c>
      <c r="BK26" s="17">
        <v>6961</v>
      </c>
      <c r="BL26" s="2"/>
      <c r="BM26" s="4">
        <v>12</v>
      </c>
      <c r="BR26" s="4">
        <v>12</v>
      </c>
      <c r="BW26" s="4">
        <v>12</v>
      </c>
      <c r="BX26" s="18"/>
      <c r="BY26" s="18"/>
      <c r="BZ26" s="19"/>
    </row>
    <row r="27" spans="4:78" ht="15" customHeight="1" x14ac:dyDescent="0.25">
      <c r="D27" t="s">
        <v>21</v>
      </c>
      <c r="E27" s="4">
        <v>13</v>
      </c>
      <c r="F27" s="2">
        <v>16223</v>
      </c>
      <c r="G27" s="2">
        <v>32636</v>
      </c>
      <c r="H27" s="17">
        <v>6082</v>
      </c>
      <c r="I27" s="2"/>
      <c r="J27" s="4">
        <v>13</v>
      </c>
      <c r="K27" s="18"/>
      <c r="L27" s="18"/>
      <c r="M27" s="19"/>
      <c r="N27" s="2"/>
      <c r="O27" s="4">
        <v>13</v>
      </c>
      <c r="P27" s="2">
        <v>35710</v>
      </c>
      <c r="Q27" s="2">
        <v>38997</v>
      </c>
      <c r="R27" s="17">
        <v>8050</v>
      </c>
      <c r="S27" s="2"/>
      <c r="T27" s="4">
        <v>13</v>
      </c>
      <c r="U27" s="2">
        <v>27264</v>
      </c>
      <c r="V27" s="2">
        <v>35937</v>
      </c>
      <c r="W27" s="17">
        <v>7604</v>
      </c>
      <c r="X27" s="2"/>
      <c r="Y27" s="4">
        <v>13</v>
      </c>
      <c r="Z27" s="2">
        <v>15197</v>
      </c>
      <c r="AA27" s="2">
        <v>30687</v>
      </c>
      <c r="AB27" s="17">
        <v>6737</v>
      </c>
      <c r="AC27" s="2"/>
      <c r="AD27" s="4">
        <v>13</v>
      </c>
      <c r="AE27" s="18"/>
      <c r="AF27" s="18"/>
      <c r="AG27" s="19"/>
      <c r="AH27" s="2"/>
      <c r="AI27" s="4">
        <v>13</v>
      </c>
      <c r="AJ27" s="2">
        <v>30185</v>
      </c>
      <c r="AK27" s="2">
        <v>36901</v>
      </c>
      <c r="AL27" s="17">
        <v>8544</v>
      </c>
      <c r="AM27" s="2"/>
      <c r="AN27" s="4">
        <v>13</v>
      </c>
      <c r="AO27" s="2">
        <v>11754</v>
      </c>
      <c r="AP27" s="2">
        <v>22281</v>
      </c>
      <c r="AQ27" s="17">
        <v>5851</v>
      </c>
      <c r="AR27" s="2"/>
      <c r="AS27" s="4">
        <v>13</v>
      </c>
      <c r="AT27" s="2">
        <v>39177</v>
      </c>
      <c r="AU27" s="2">
        <v>52393</v>
      </c>
      <c r="AV27" s="17">
        <v>9115</v>
      </c>
      <c r="AW27" s="2"/>
      <c r="AX27" s="4">
        <v>13</v>
      </c>
      <c r="AY27" s="2"/>
      <c r="AZ27" s="2"/>
      <c r="BA27" s="17"/>
      <c r="BB27" s="2"/>
      <c r="BC27" s="4">
        <v>13</v>
      </c>
      <c r="BH27" s="4">
        <v>13</v>
      </c>
      <c r="BI27" s="2">
        <v>72322</v>
      </c>
      <c r="BJ27" s="2">
        <v>57189</v>
      </c>
      <c r="BK27" s="17">
        <v>11913</v>
      </c>
      <c r="BL27" s="2"/>
      <c r="BM27" s="4">
        <v>13</v>
      </c>
      <c r="BR27" s="4">
        <v>13</v>
      </c>
      <c r="BW27" s="4">
        <v>13</v>
      </c>
    </row>
    <row r="28" spans="4:78" ht="15" customHeight="1" x14ac:dyDescent="0.25">
      <c r="D28" t="s">
        <v>22</v>
      </c>
      <c r="E28" s="4">
        <v>13</v>
      </c>
      <c r="F28" s="2">
        <v>12539</v>
      </c>
      <c r="G28" s="2">
        <v>21204</v>
      </c>
      <c r="H28" s="17">
        <v>4554</v>
      </c>
      <c r="I28" s="2"/>
      <c r="J28" s="4">
        <v>13</v>
      </c>
      <c r="K28" s="18"/>
      <c r="L28" s="18"/>
      <c r="M28" s="19"/>
      <c r="N28" s="2"/>
      <c r="O28" s="4">
        <v>13</v>
      </c>
      <c r="P28" s="2">
        <v>27330</v>
      </c>
      <c r="Q28" s="2">
        <v>30717</v>
      </c>
      <c r="R28" s="17">
        <v>6934</v>
      </c>
      <c r="S28" s="2"/>
      <c r="T28" s="4">
        <v>13</v>
      </c>
      <c r="U28" s="2">
        <v>24688</v>
      </c>
      <c r="V28" s="2">
        <v>28396</v>
      </c>
      <c r="W28" s="17">
        <v>6304</v>
      </c>
      <c r="X28" s="2"/>
      <c r="Y28" s="4">
        <v>13</v>
      </c>
      <c r="Z28" s="2">
        <v>12530</v>
      </c>
      <c r="AA28" s="2">
        <v>23115</v>
      </c>
      <c r="AB28" s="17">
        <v>4559</v>
      </c>
      <c r="AC28" s="2"/>
      <c r="AD28" s="4">
        <v>13</v>
      </c>
      <c r="AE28" s="18"/>
      <c r="AF28" s="18"/>
      <c r="AG28" s="19"/>
      <c r="AH28" s="2"/>
      <c r="AI28" s="4">
        <v>13</v>
      </c>
      <c r="AJ28" s="2">
        <v>20539</v>
      </c>
      <c r="AK28" s="2">
        <v>23539</v>
      </c>
      <c r="AL28" s="17">
        <v>6086</v>
      </c>
      <c r="AM28" s="2"/>
      <c r="AN28" s="4">
        <v>13</v>
      </c>
      <c r="AO28" s="2">
        <v>6130</v>
      </c>
      <c r="AP28" s="2">
        <v>12051</v>
      </c>
      <c r="AQ28" s="17">
        <v>3376</v>
      </c>
      <c r="AR28" s="2"/>
      <c r="AS28" s="4">
        <v>13</v>
      </c>
      <c r="AT28" s="2">
        <v>34423</v>
      </c>
      <c r="AU28" s="2">
        <v>33656</v>
      </c>
      <c r="AV28" s="17">
        <v>7372</v>
      </c>
      <c r="AW28" s="2"/>
      <c r="AX28" s="4">
        <v>13</v>
      </c>
      <c r="AY28" s="2"/>
      <c r="AZ28" s="2"/>
      <c r="BA28" s="17"/>
      <c r="BB28" s="2"/>
      <c r="BC28" s="4">
        <v>13</v>
      </c>
      <c r="BH28" s="4">
        <v>13</v>
      </c>
      <c r="BI28" s="2">
        <v>55517</v>
      </c>
      <c r="BJ28" s="2">
        <v>35344</v>
      </c>
      <c r="BK28" s="17">
        <v>10949</v>
      </c>
      <c r="BL28" s="2"/>
      <c r="BM28" s="4">
        <v>13</v>
      </c>
      <c r="BR28" s="4">
        <v>13</v>
      </c>
      <c r="BW28" s="4">
        <v>13</v>
      </c>
    </row>
    <row r="29" spans="4:78" ht="15" customHeight="1" x14ac:dyDescent="0.25">
      <c r="D29" t="s">
        <v>21</v>
      </c>
      <c r="E29" s="4">
        <v>14</v>
      </c>
      <c r="F29" s="2">
        <v>17785</v>
      </c>
      <c r="G29" s="2">
        <v>27620</v>
      </c>
      <c r="H29" s="17">
        <v>6179</v>
      </c>
      <c r="I29" s="2"/>
      <c r="J29" s="4">
        <v>14</v>
      </c>
      <c r="K29" s="2">
        <v>17007</v>
      </c>
      <c r="L29" s="2">
        <v>22644</v>
      </c>
      <c r="M29" s="17">
        <v>6227</v>
      </c>
      <c r="N29" s="2"/>
      <c r="O29" s="4">
        <v>14</v>
      </c>
      <c r="P29" s="18"/>
      <c r="Q29" s="18"/>
      <c r="R29" s="19"/>
      <c r="S29" s="2"/>
      <c r="T29" s="4">
        <v>14</v>
      </c>
      <c r="U29" s="2">
        <v>13182</v>
      </c>
      <c r="V29" s="2">
        <v>21421</v>
      </c>
      <c r="W29" s="17">
        <v>5761</v>
      </c>
      <c r="X29" s="2"/>
      <c r="Y29" s="4">
        <v>14</v>
      </c>
      <c r="Z29" s="3"/>
      <c r="AA29" s="3"/>
      <c r="AB29" s="22"/>
      <c r="AD29" s="4">
        <v>14</v>
      </c>
      <c r="AE29" s="18"/>
      <c r="AF29" s="18"/>
      <c r="AG29" s="19"/>
      <c r="AH29" s="2"/>
      <c r="AI29" s="4">
        <v>14</v>
      </c>
      <c r="AJ29" s="2">
        <v>20590</v>
      </c>
      <c r="AK29" s="2">
        <v>29121</v>
      </c>
      <c r="AL29" s="17">
        <v>6708</v>
      </c>
      <c r="AM29" s="2"/>
      <c r="AN29" s="4">
        <v>14</v>
      </c>
      <c r="AO29" s="2">
        <v>38221</v>
      </c>
      <c r="AP29" s="2">
        <v>38963</v>
      </c>
      <c r="AQ29" s="17">
        <v>7872</v>
      </c>
      <c r="AR29" s="2"/>
      <c r="AS29" s="4">
        <v>14</v>
      </c>
      <c r="AT29" s="2">
        <v>61961</v>
      </c>
      <c r="AU29" s="2">
        <v>69461</v>
      </c>
      <c r="AV29" s="17">
        <v>10822</v>
      </c>
      <c r="AW29" s="2"/>
      <c r="AX29" s="4">
        <v>14</v>
      </c>
      <c r="BC29" s="4">
        <v>14</v>
      </c>
      <c r="BH29" s="4">
        <v>14</v>
      </c>
      <c r="BI29" s="2">
        <v>37473</v>
      </c>
      <c r="BJ29" s="2">
        <v>43908</v>
      </c>
      <c r="BK29" s="17">
        <v>8637</v>
      </c>
      <c r="BL29" s="2"/>
      <c r="BM29" s="4">
        <v>14</v>
      </c>
      <c r="BR29" s="4">
        <v>14</v>
      </c>
      <c r="BW29" s="4">
        <v>14</v>
      </c>
    </row>
    <row r="30" spans="4:78" ht="15" customHeight="1" x14ac:dyDescent="0.25">
      <c r="D30" t="s">
        <v>22</v>
      </c>
      <c r="E30" s="4">
        <v>14</v>
      </c>
      <c r="F30" s="2">
        <v>13401</v>
      </c>
      <c r="G30" s="2">
        <v>21674</v>
      </c>
      <c r="H30" s="17">
        <v>4560</v>
      </c>
      <c r="I30" s="2"/>
      <c r="J30" s="4">
        <v>14</v>
      </c>
      <c r="K30" s="2">
        <v>13079</v>
      </c>
      <c r="L30" s="2">
        <v>15750</v>
      </c>
      <c r="M30" s="17">
        <v>4195</v>
      </c>
      <c r="N30" s="2"/>
      <c r="O30" s="4">
        <v>14</v>
      </c>
      <c r="P30" s="18"/>
      <c r="Q30" s="18"/>
      <c r="R30" s="19"/>
      <c r="S30" s="2"/>
      <c r="T30" s="4">
        <v>14</v>
      </c>
      <c r="U30" s="2">
        <v>10680</v>
      </c>
      <c r="V30" s="2">
        <v>15583</v>
      </c>
      <c r="W30" s="17">
        <v>4583</v>
      </c>
      <c r="X30" s="2"/>
      <c r="Y30" s="4">
        <v>14</v>
      </c>
      <c r="Z30" s="3"/>
      <c r="AA30" s="3"/>
      <c r="AB30" s="22"/>
      <c r="AD30" s="4">
        <v>14</v>
      </c>
      <c r="AE30" s="18"/>
      <c r="AF30" s="18"/>
      <c r="AG30" s="19"/>
      <c r="AH30" s="2"/>
      <c r="AI30" s="4">
        <v>14</v>
      </c>
      <c r="AJ30" s="2">
        <v>19948</v>
      </c>
      <c r="AK30" s="2">
        <v>24011</v>
      </c>
      <c r="AL30" s="17">
        <v>6036</v>
      </c>
      <c r="AM30" s="2"/>
      <c r="AN30" s="4">
        <v>14</v>
      </c>
      <c r="AO30" s="2">
        <v>31973</v>
      </c>
      <c r="AP30" s="2">
        <v>40898</v>
      </c>
      <c r="AQ30" s="17">
        <v>8619</v>
      </c>
      <c r="AR30" s="2"/>
      <c r="AS30" s="4">
        <v>14</v>
      </c>
      <c r="AT30" s="2">
        <v>43150</v>
      </c>
      <c r="AU30" s="2">
        <v>44498</v>
      </c>
      <c r="AV30" s="17">
        <v>9504</v>
      </c>
      <c r="AW30" s="2"/>
      <c r="AX30" s="4">
        <v>14</v>
      </c>
      <c r="BC30" s="4">
        <v>14</v>
      </c>
      <c r="BH30" s="4">
        <v>14</v>
      </c>
      <c r="BI30" s="2">
        <v>33953</v>
      </c>
      <c r="BJ30" s="2">
        <v>27014</v>
      </c>
      <c r="BK30" s="17">
        <v>7695</v>
      </c>
      <c r="BL30" s="2"/>
      <c r="BM30" s="4">
        <v>14</v>
      </c>
      <c r="BR30" s="4">
        <v>14</v>
      </c>
      <c r="BW30" s="4">
        <v>14</v>
      </c>
    </row>
    <row r="31" spans="4:78" ht="15" customHeight="1" x14ac:dyDescent="0.25">
      <c r="D31" t="s">
        <v>21</v>
      </c>
      <c r="E31" s="4">
        <v>15</v>
      </c>
      <c r="F31" s="18"/>
      <c r="G31" s="18"/>
      <c r="H31" s="19"/>
      <c r="I31" s="2"/>
      <c r="J31" s="4">
        <v>15</v>
      </c>
      <c r="K31" s="2">
        <v>25095</v>
      </c>
      <c r="L31" s="2">
        <v>36388</v>
      </c>
      <c r="M31" s="17">
        <v>7641</v>
      </c>
      <c r="N31" s="2"/>
      <c r="O31" s="4">
        <v>15</v>
      </c>
      <c r="P31" s="2">
        <v>29992</v>
      </c>
      <c r="Q31" s="2">
        <v>35765</v>
      </c>
      <c r="R31" s="17">
        <v>8295</v>
      </c>
      <c r="S31" s="2"/>
      <c r="T31" s="4">
        <v>15</v>
      </c>
      <c r="U31" s="2">
        <v>19372</v>
      </c>
      <c r="V31" s="2">
        <v>24602</v>
      </c>
      <c r="W31" s="17">
        <v>5983</v>
      </c>
      <c r="X31" s="2"/>
      <c r="Y31" s="4">
        <v>15</v>
      </c>
      <c r="AD31" s="4">
        <v>15</v>
      </c>
      <c r="AE31" s="18"/>
      <c r="AF31" s="18"/>
      <c r="AG31" s="19"/>
      <c r="AH31" s="2"/>
      <c r="AI31" s="4">
        <v>15</v>
      </c>
      <c r="AJ31" s="2">
        <v>23267</v>
      </c>
      <c r="AK31" s="2">
        <v>29924</v>
      </c>
      <c r="AL31" s="17">
        <v>6772</v>
      </c>
      <c r="AM31" s="2"/>
      <c r="AN31" s="4">
        <v>15</v>
      </c>
      <c r="AO31" s="2">
        <v>70619</v>
      </c>
      <c r="AP31" s="2">
        <v>53658</v>
      </c>
      <c r="AQ31" s="17">
        <v>12196</v>
      </c>
      <c r="AR31" s="2"/>
      <c r="AS31" s="4">
        <v>15</v>
      </c>
      <c r="AT31" s="2">
        <v>24793</v>
      </c>
      <c r="AU31" s="2">
        <v>35406</v>
      </c>
      <c r="AV31" s="17">
        <v>6879</v>
      </c>
      <c r="AW31" s="2"/>
      <c r="AX31" s="4">
        <v>15</v>
      </c>
      <c r="BC31" s="4">
        <v>15</v>
      </c>
      <c r="BH31" s="4">
        <v>15</v>
      </c>
      <c r="BI31" s="2">
        <v>45104</v>
      </c>
      <c r="BJ31" s="2">
        <v>37897</v>
      </c>
      <c r="BK31" s="17">
        <v>8251</v>
      </c>
      <c r="BL31" s="2"/>
      <c r="BM31" s="4">
        <v>15</v>
      </c>
      <c r="BR31" s="4">
        <v>15</v>
      </c>
      <c r="BW31" s="4">
        <v>15</v>
      </c>
    </row>
    <row r="32" spans="4:78" ht="15" customHeight="1" x14ac:dyDescent="0.25">
      <c r="D32" t="s">
        <v>22</v>
      </c>
      <c r="E32" s="4">
        <v>15</v>
      </c>
      <c r="F32" s="18"/>
      <c r="G32" s="18"/>
      <c r="H32" s="19"/>
      <c r="I32" s="2"/>
      <c r="J32" s="4">
        <v>15</v>
      </c>
      <c r="K32" s="2">
        <v>17672</v>
      </c>
      <c r="L32" s="2">
        <v>23177</v>
      </c>
      <c r="M32" s="17">
        <v>5920</v>
      </c>
      <c r="N32" s="2"/>
      <c r="O32" s="4">
        <v>15</v>
      </c>
      <c r="P32" s="2">
        <v>22207</v>
      </c>
      <c r="Q32" s="2">
        <v>22695</v>
      </c>
      <c r="R32" s="17">
        <v>5893</v>
      </c>
      <c r="S32" s="2"/>
      <c r="T32" s="4">
        <v>15</v>
      </c>
      <c r="U32" s="2">
        <v>24406</v>
      </c>
      <c r="V32" s="2">
        <v>23894</v>
      </c>
      <c r="W32" s="17">
        <v>6483</v>
      </c>
      <c r="X32" s="2"/>
      <c r="Y32" s="4">
        <v>15</v>
      </c>
      <c r="AD32" s="4">
        <v>15</v>
      </c>
      <c r="AE32" s="18"/>
      <c r="AF32" s="18"/>
      <c r="AG32" s="19"/>
      <c r="AH32" s="2"/>
      <c r="AI32" s="4">
        <v>15</v>
      </c>
      <c r="AJ32" s="2">
        <v>22070</v>
      </c>
      <c r="AK32" s="2">
        <v>21781</v>
      </c>
      <c r="AL32" s="17">
        <v>5557</v>
      </c>
      <c r="AM32" s="2"/>
      <c r="AN32" s="4">
        <v>15</v>
      </c>
      <c r="AO32" s="2">
        <v>49238</v>
      </c>
      <c r="AP32" s="2">
        <v>33645</v>
      </c>
      <c r="AQ32" s="17">
        <v>8427</v>
      </c>
      <c r="AR32" s="2"/>
      <c r="AS32" s="4">
        <v>15</v>
      </c>
      <c r="AT32" s="2">
        <v>22802</v>
      </c>
      <c r="AU32" s="2">
        <v>28850</v>
      </c>
      <c r="AV32" s="17">
        <v>6592</v>
      </c>
      <c r="AW32" s="2"/>
      <c r="AX32" s="4">
        <v>15</v>
      </c>
      <c r="BC32" s="4">
        <v>15</v>
      </c>
      <c r="BH32" s="4">
        <v>15</v>
      </c>
      <c r="BI32" s="2">
        <v>37930</v>
      </c>
      <c r="BJ32" s="2">
        <v>27504</v>
      </c>
      <c r="BK32" s="17">
        <v>8348</v>
      </c>
      <c r="BL32" s="2"/>
      <c r="BM32" s="4">
        <v>15</v>
      </c>
      <c r="BR32" s="4">
        <v>15</v>
      </c>
      <c r="BW32" s="4">
        <v>15</v>
      </c>
    </row>
    <row r="33" spans="4:75" ht="15" customHeight="1" x14ac:dyDescent="0.25">
      <c r="D33" t="s">
        <v>21</v>
      </c>
      <c r="E33" s="4">
        <v>16</v>
      </c>
      <c r="F33" s="18"/>
      <c r="G33" s="18"/>
      <c r="H33" s="19"/>
      <c r="I33" s="2"/>
      <c r="J33" s="4">
        <v>16</v>
      </c>
      <c r="K33" s="2">
        <v>25807</v>
      </c>
      <c r="L33" s="2">
        <v>35650</v>
      </c>
      <c r="M33" s="17">
        <v>8207</v>
      </c>
      <c r="N33" s="2"/>
      <c r="O33" s="4">
        <v>16</v>
      </c>
      <c r="P33" s="2">
        <v>46104</v>
      </c>
      <c r="Q33" s="2">
        <v>41671</v>
      </c>
      <c r="R33" s="17">
        <v>9816</v>
      </c>
      <c r="S33" s="2"/>
      <c r="T33" s="4">
        <v>16</v>
      </c>
      <c r="U33" s="2">
        <v>10116</v>
      </c>
      <c r="V33" s="2">
        <v>15215</v>
      </c>
      <c r="W33" s="17">
        <v>4076</v>
      </c>
      <c r="X33" s="2"/>
      <c r="Y33" s="4">
        <v>16</v>
      </c>
      <c r="AD33" s="4">
        <v>16</v>
      </c>
      <c r="AE33" s="18"/>
      <c r="AF33" s="18"/>
      <c r="AG33" s="19"/>
      <c r="AH33" s="2"/>
      <c r="AI33" s="4">
        <v>16</v>
      </c>
      <c r="AJ33" s="2">
        <v>12260</v>
      </c>
      <c r="AK33" s="2">
        <v>23484</v>
      </c>
      <c r="AL33" s="17">
        <v>5558</v>
      </c>
      <c r="AM33" s="2"/>
      <c r="AN33" s="4">
        <v>16</v>
      </c>
      <c r="AO33" s="2">
        <v>36972</v>
      </c>
      <c r="AP33" s="2">
        <v>53714</v>
      </c>
      <c r="AQ33" s="17">
        <v>9946</v>
      </c>
      <c r="AR33" s="2"/>
      <c r="AS33" s="4">
        <v>16</v>
      </c>
      <c r="AT33" s="2">
        <v>29251</v>
      </c>
      <c r="AU33" s="2">
        <v>32585</v>
      </c>
      <c r="AV33" s="17">
        <v>7664</v>
      </c>
      <c r="AW33" s="2"/>
      <c r="AX33" s="4">
        <v>16</v>
      </c>
      <c r="BC33" s="4">
        <v>16</v>
      </c>
      <c r="BH33" s="4">
        <v>16</v>
      </c>
      <c r="BI33" s="2">
        <v>66804</v>
      </c>
      <c r="BJ33" s="2">
        <v>41458</v>
      </c>
      <c r="BK33" s="17">
        <v>10366</v>
      </c>
      <c r="BL33" s="2"/>
      <c r="BM33" s="4">
        <v>16</v>
      </c>
      <c r="BR33" s="4">
        <v>16</v>
      </c>
      <c r="BW33" s="4">
        <v>16</v>
      </c>
    </row>
    <row r="34" spans="4:75" ht="15" customHeight="1" x14ac:dyDescent="0.25">
      <c r="D34" t="s">
        <v>22</v>
      </c>
      <c r="E34" s="4">
        <v>16</v>
      </c>
      <c r="F34" s="18"/>
      <c r="G34" s="18"/>
      <c r="H34" s="19"/>
      <c r="I34" s="2"/>
      <c r="J34" s="4">
        <v>16</v>
      </c>
      <c r="K34" s="2">
        <v>21651</v>
      </c>
      <c r="L34" s="2">
        <v>27904</v>
      </c>
      <c r="M34" s="17">
        <v>6375</v>
      </c>
      <c r="N34" s="2"/>
      <c r="O34" s="4">
        <v>16</v>
      </c>
      <c r="P34" s="2">
        <v>40142</v>
      </c>
      <c r="Q34" s="2">
        <v>33438</v>
      </c>
      <c r="R34" s="17">
        <v>8028</v>
      </c>
      <c r="S34" s="2"/>
      <c r="T34" s="4">
        <v>16</v>
      </c>
      <c r="U34" s="2">
        <v>11384</v>
      </c>
      <c r="V34" s="2">
        <v>16182</v>
      </c>
      <c r="W34" s="17">
        <v>3957</v>
      </c>
      <c r="X34" s="2"/>
      <c r="Y34" s="4">
        <v>16</v>
      </c>
      <c r="AD34" s="4">
        <v>16</v>
      </c>
      <c r="AE34" s="18"/>
      <c r="AF34" s="18"/>
      <c r="AG34" s="19"/>
      <c r="AH34" s="2"/>
      <c r="AI34" s="4">
        <v>16</v>
      </c>
      <c r="AJ34" s="2">
        <v>6887</v>
      </c>
      <c r="AK34" s="2">
        <v>13608</v>
      </c>
      <c r="AL34" s="17">
        <v>3351</v>
      </c>
      <c r="AM34" s="2"/>
      <c r="AN34" s="4">
        <v>16</v>
      </c>
      <c r="AO34" s="2">
        <v>26470</v>
      </c>
      <c r="AP34" s="2">
        <v>27645</v>
      </c>
      <c r="AQ34" s="17">
        <v>6701</v>
      </c>
      <c r="AR34" s="2"/>
      <c r="AS34" s="4">
        <v>16</v>
      </c>
      <c r="AT34" s="2">
        <v>23579</v>
      </c>
      <c r="AU34" s="2">
        <v>32233</v>
      </c>
      <c r="AV34" s="17">
        <v>6267</v>
      </c>
      <c r="AW34" s="2"/>
      <c r="AX34" s="4">
        <v>16</v>
      </c>
      <c r="BC34" s="4">
        <v>16</v>
      </c>
      <c r="BH34" s="4">
        <v>16</v>
      </c>
      <c r="BI34" s="2">
        <v>58197</v>
      </c>
      <c r="BJ34" s="2">
        <v>32928</v>
      </c>
      <c r="BK34" s="17">
        <v>10379</v>
      </c>
      <c r="BL34" s="2"/>
      <c r="BM34" s="4">
        <v>16</v>
      </c>
      <c r="BR34" s="4">
        <v>16</v>
      </c>
      <c r="BW34" s="4">
        <v>16</v>
      </c>
    </row>
    <row r="35" spans="4:75" ht="15" customHeight="1" x14ac:dyDescent="0.25">
      <c r="D35" t="s">
        <v>21</v>
      </c>
      <c r="E35" s="4">
        <v>17</v>
      </c>
      <c r="F35" s="2">
        <v>9189</v>
      </c>
      <c r="G35" s="2">
        <v>20525</v>
      </c>
      <c r="H35" s="17">
        <v>5214</v>
      </c>
      <c r="I35" s="2"/>
      <c r="J35" s="4">
        <v>17</v>
      </c>
      <c r="K35" s="2">
        <v>8209</v>
      </c>
      <c r="L35" s="2">
        <v>16728</v>
      </c>
      <c r="M35" s="17">
        <v>4560</v>
      </c>
      <c r="N35" s="2"/>
      <c r="O35" s="4">
        <v>17</v>
      </c>
      <c r="P35" s="2">
        <v>23336</v>
      </c>
      <c r="Q35" s="2">
        <v>24643</v>
      </c>
      <c r="R35" s="17">
        <v>6329</v>
      </c>
      <c r="S35" s="2"/>
      <c r="T35" s="4">
        <v>17</v>
      </c>
      <c r="U35" s="2">
        <v>23809</v>
      </c>
      <c r="V35" s="2">
        <v>29474</v>
      </c>
      <c r="W35" s="17">
        <v>7641</v>
      </c>
      <c r="X35" s="2"/>
      <c r="Y35" s="4">
        <v>17</v>
      </c>
      <c r="AD35" s="4">
        <v>17</v>
      </c>
      <c r="AE35" s="2">
        <v>3180</v>
      </c>
      <c r="AF35" s="2">
        <v>7222</v>
      </c>
      <c r="AG35" s="17">
        <v>2113</v>
      </c>
      <c r="AH35" s="2"/>
      <c r="AI35" s="4">
        <v>17</v>
      </c>
      <c r="AJ35" s="2">
        <v>18233</v>
      </c>
      <c r="AK35" s="2">
        <v>29950</v>
      </c>
      <c r="AL35" s="17">
        <v>7256</v>
      </c>
      <c r="AM35" s="2"/>
      <c r="AN35" s="4">
        <v>17</v>
      </c>
      <c r="AO35" s="2">
        <v>28452</v>
      </c>
      <c r="AP35" s="2">
        <v>32989</v>
      </c>
      <c r="AQ35" s="17">
        <v>7813</v>
      </c>
      <c r="AR35" s="2"/>
      <c r="AS35" s="4">
        <v>17</v>
      </c>
      <c r="AT35" s="2">
        <v>37369</v>
      </c>
      <c r="AU35" s="2">
        <v>38880</v>
      </c>
      <c r="AV35" s="17">
        <v>8808</v>
      </c>
      <c r="AW35" s="2"/>
      <c r="AX35" s="4">
        <v>17</v>
      </c>
      <c r="BC35" s="4">
        <v>17</v>
      </c>
      <c r="BH35" s="4">
        <v>17</v>
      </c>
      <c r="BI35" s="2">
        <v>34875</v>
      </c>
      <c r="BJ35" s="2">
        <v>35894</v>
      </c>
      <c r="BK35" s="17">
        <v>7683</v>
      </c>
      <c r="BL35" s="2"/>
      <c r="BM35" s="4">
        <v>17</v>
      </c>
      <c r="BR35" s="4">
        <v>17</v>
      </c>
      <c r="BW35" s="4">
        <v>17</v>
      </c>
    </row>
    <row r="36" spans="4:75" ht="15" customHeight="1" x14ac:dyDescent="0.25">
      <c r="D36" t="s">
        <v>22</v>
      </c>
      <c r="E36" s="4">
        <v>17</v>
      </c>
      <c r="F36" s="2">
        <v>6499</v>
      </c>
      <c r="G36" s="2">
        <v>16161</v>
      </c>
      <c r="H36" s="17">
        <v>3700</v>
      </c>
      <c r="I36" s="2"/>
      <c r="J36" s="4">
        <v>17</v>
      </c>
      <c r="K36" s="2">
        <v>5337</v>
      </c>
      <c r="L36" s="2">
        <v>13736</v>
      </c>
      <c r="M36" s="17">
        <v>3771</v>
      </c>
      <c r="N36" s="2"/>
      <c r="O36" s="4">
        <v>17</v>
      </c>
      <c r="P36" s="2">
        <v>20955</v>
      </c>
      <c r="Q36" s="2">
        <v>20693</v>
      </c>
      <c r="R36" s="17">
        <v>6046</v>
      </c>
      <c r="S36" s="2"/>
      <c r="T36" s="4">
        <v>17</v>
      </c>
      <c r="U36" s="2">
        <v>16101</v>
      </c>
      <c r="V36" s="2">
        <v>20767</v>
      </c>
      <c r="W36" s="17">
        <v>5102</v>
      </c>
      <c r="X36" s="2"/>
      <c r="Y36" s="4">
        <v>17</v>
      </c>
      <c r="AD36" s="4">
        <v>17</v>
      </c>
      <c r="AE36" s="2">
        <v>3151</v>
      </c>
      <c r="AF36" s="2">
        <v>7483</v>
      </c>
      <c r="AG36" s="17">
        <v>2040</v>
      </c>
      <c r="AH36" s="2"/>
      <c r="AI36" s="4">
        <v>17</v>
      </c>
      <c r="AJ36" s="2">
        <v>10683</v>
      </c>
      <c r="AK36" s="2">
        <v>16873</v>
      </c>
      <c r="AL36" s="17">
        <v>4332</v>
      </c>
      <c r="AM36" s="2"/>
      <c r="AN36" s="4">
        <v>17</v>
      </c>
      <c r="AO36" s="2">
        <v>24763</v>
      </c>
      <c r="AP36" s="2">
        <v>29383</v>
      </c>
      <c r="AQ36" s="17">
        <v>6618</v>
      </c>
      <c r="AR36" s="2"/>
      <c r="AS36" s="4">
        <v>17</v>
      </c>
      <c r="AT36" s="2">
        <v>30093</v>
      </c>
      <c r="AU36" s="2">
        <v>32942</v>
      </c>
      <c r="AV36" s="17">
        <v>7130</v>
      </c>
      <c r="AW36" s="2"/>
      <c r="AX36" s="4">
        <v>17</v>
      </c>
      <c r="BC36" s="4">
        <v>17</v>
      </c>
      <c r="BH36" s="4">
        <v>17</v>
      </c>
      <c r="BI36" s="2">
        <v>32276</v>
      </c>
      <c r="BJ36" s="2">
        <v>29724</v>
      </c>
      <c r="BK36" s="17">
        <v>7874</v>
      </c>
      <c r="BL36" s="2"/>
      <c r="BM36" s="4">
        <v>17</v>
      </c>
      <c r="BR36" s="4">
        <v>17</v>
      </c>
      <c r="BW36" s="4">
        <v>17</v>
      </c>
    </row>
    <row r="37" spans="4:75" ht="15" customHeight="1" x14ac:dyDescent="0.25">
      <c r="D37" t="s">
        <v>21</v>
      </c>
      <c r="E37" s="4">
        <v>18</v>
      </c>
      <c r="F37" s="2">
        <v>8420</v>
      </c>
      <c r="G37" s="2">
        <v>21496</v>
      </c>
      <c r="H37" s="17">
        <v>4799</v>
      </c>
      <c r="I37" s="2"/>
      <c r="J37" s="4">
        <v>18</v>
      </c>
      <c r="K37" s="2">
        <v>17476</v>
      </c>
      <c r="L37" s="2">
        <v>32332</v>
      </c>
      <c r="M37" s="17">
        <v>6958</v>
      </c>
      <c r="N37" s="2"/>
      <c r="O37" s="4">
        <v>18</v>
      </c>
      <c r="P37" s="2">
        <v>30742</v>
      </c>
      <c r="Q37" s="2">
        <v>37371</v>
      </c>
      <c r="R37" s="17">
        <v>9265</v>
      </c>
      <c r="S37" s="2"/>
      <c r="T37" s="4">
        <v>18</v>
      </c>
      <c r="U37" s="2">
        <v>25718</v>
      </c>
      <c r="V37" s="2">
        <v>29697</v>
      </c>
      <c r="W37" s="17">
        <v>7447</v>
      </c>
      <c r="X37" s="2"/>
      <c r="Y37" s="4">
        <v>18</v>
      </c>
      <c r="AD37" s="4">
        <v>18</v>
      </c>
      <c r="AE37" s="2">
        <v>4631</v>
      </c>
      <c r="AF37" s="2">
        <v>9817</v>
      </c>
      <c r="AG37" s="17">
        <v>3099</v>
      </c>
      <c r="AH37" s="2"/>
      <c r="AI37" s="4">
        <v>18</v>
      </c>
      <c r="AJ37" s="18"/>
      <c r="AK37" s="18"/>
      <c r="AL37" s="19"/>
      <c r="AM37" s="2"/>
      <c r="AN37" s="4">
        <v>18</v>
      </c>
      <c r="AO37" s="2">
        <v>38956</v>
      </c>
      <c r="AP37" s="2">
        <v>47137</v>
      </c>
      <c r="AQ37" s="17">
        <v>9559</v>
      </c>
      <c r="AR37" s="2"/>
      <c r="AS37" s="4">
        <v>18</v>
      </c>
      <c r="AT37" s="2">
        <v>28869</v>
      </c>
      <c r="AU37" s="2">
        <v>41018</v>
      </c>
      <c r="AV37" s="17">
        <v>8350</v>
      </c>
      <c r="AW37" s="2"/>
      <c r="AX37" s="4">
        <v>18</v>
      </c>
      <c r="BC37" s="4">
        <v>18</v>
      </c>
      <c r="BH37" s="4">
        <v>18</v>
      </c>
      <c r="BI37" s="2">
        <v>38105</v>
      </c>
      <c r="BJ37" s="2">
        <v>38435</v>
      </c>
      <c r="BK37" s="17">
        <v>9024</v>
      </c>
      <c r="BL37" s="2"/>
      <c r="BM37" s="4">
        <v>18</v>
      </c>
      <c r="BR37" s="4">
        <v>18</v>
      </c>
      <c r="BW37" s="4">
        <v>18</v>
      </c>
    </row>
    <row r="38" spans="4:75" ht="15" customHeight="1" x14ac:dyDescent="0.25">
      <c r="D38" t="s">
        <v>22</v>
      </c>
      <c r="E38" s="4">
        <v>18</v>
      </c>
      <c r="F38" s="2">
        <v>8328</v>
      </c>
      <c r="G38" s="2">
        <v>16133</v>
      </c>
      <c r="H38" s="17">
        <v>3919</v>
      </c>
      <c r="I38" s="2"/>
      <c r="J38" s="4">
        <v>18</v>
      </c>
      <c r="K38" s="2">
        <v>13499</v>
      </c>
      <c r="L38" s="2">
        <v>20937</v>
      </c>
      <c r="M38" s="17">
        <v>4700</v>
      </c>
      <c r="N38" s="2"/>
      <c r="O38" s="4">
        <v>18</v>
      </c>
      <c r="P38" s="2">
        <v>27426</v>
      </c>
      <c r="Q38" s="2">
        <v>26122</v>
      </c>
      <c r="R38" s="17">
        <v>7249</v>
      </c>
      <c r="S38" s="2"/>
      <c r="T38" s="4">
        <v>18</v>
      </c>
      <c r="U38" s="2">
        <v>24368</v>
      </c>
      <c r="V38" s="2">
        <v>23242</v>
      </c>
      <c r="W38" s="17">
        <v>5635</v>
      </c>
      <c r="X38" s="2"/>
      <c r="Y38" s="4">
        <v>18</v>
      </c>
      <c r="AD38" s="4">
        <v>18</v>
      </c>
      <c r="AE38" s="2">
        <v>1536</v>
      </c>
      <c r="AF38" s="2">
        <v>5424</v>
      </c>
      <c r="AG38" s="17">
        <v>1847</v>
      </c>
      <c r="AH38" s="2"/>
      <c r="AI38" s="4">
        <v>18</v>
      </c>
      <c r="AJ38" s="18"/>
      <c r="AK38" s="18"/>
      <c r="AL38" s="19"/>
      <c r="AM38" s="2"/>
      <c r="AN38" s="4">
        <v>18</v>
      </c>
      <c r="AO38" s="2">
        <v>28011</v>
      </c>
      <c r="AP38" s="2">
        <v>27805</v>
      </c>
      <c r="AQ38" s="17">
        <v>6782</v>
      </c>
      <c r="AR38" s="2"/>
      <c r="AS38" s="4">
        <v>18</v>
      </c>
      <c r="AT38" s="2">
        <v>26288</v>
      </c>
      <c r="AU38" s="2">
        <v>32948</v>
      </c>
      <c r="AV38" s="17">
        <v>6534</v>
      </c>
      <c r="AW38" s="2"/>
      <c r="AX38" s="4">
        <v>18</v>
      </c>
      <c r="BC38" s="4">
        <v>18</v>
      </c>
      <c r="BH38" s="4">
        <v>18</v>
      </c>
      <c r="BI38" s="2">
        <v>29484</v>
      </c>
      <c r="BJ38" s="2">
        <v>23298</v>
      </c>
      <c r="BK38" s="17">
        <v>6359</v>
      </c>
      <c r="BL38" s="2"/>
      <c r="BM38" s="4">
        <v>18</v>
      </c>
      <c r="BR38" s="4">
        <v>18</v>
      </c>
      <c r="BW38" s="4">
        <v>18</v>
      </c>
    </row>
    <row r="39" spans="4:75" ht="15" customHeight="1" x14ac:dyDescent="0.25">
      <c r="D39" t="s">
        <v>21</v>
      </c>
      <c r="E39" s="4">
        <v>19</v>
      </c>
      <c r="F39" s="18"/>
      <c r="G39" s="18"/>
      <c r="H39" s="19"/>
      <c r="I39" s="2"/>
      <c r="J39" s="4">
        <v>19</v>
      </c>
      <c r="K39" s="2">
        <v>12027</v>
      </c>
      <c r="L39" s="2">
        <v>20257</v>
      </c>
      <c r="M39" s="17">
        <v>4484</v>
      </c>
      <c r="N39" s="2"/>
      <c r="O39" s="4">
        <v>19</v>
      </c>
      <c r="P39" s="2">
        <v>42693</v>
      </c>
      <c r="Q39" s="2">
        <v>41628</v>
      </c>
      <c r="R39" s="17">
        <v>9993</v>
      </c>
      <c r="S39" s="2"/>
      <c r="T39" s="4">
        <v>19</v>
      </c>
      <c r="U39" s="2">
        <v>24363</v>
      </c>
      <c r="V39" s="2">
        <v>28839</v>
      </c>
      <c r="W39" s="17">
        <v>6699</v>
      </c>
      <c r="X39" s="2"/>
      <c r="Y39" s="4">
        <v>19</v>
      </c>
      <c r="AD39" s="4">
        <v>19</v>
      </c>
      <c r="AE39" s="2">
        <v>7723</v>
      </c>
      <c r="AF39" s="2">
        <v>11902</v>
      </c>
      <c r="AG39" s="17">
        <v>4093</v>
      </c>
      <c r="AH39" s="2"/>
      <c r="AI39" s="4">
        <v>19</v>
      </c>
      <c r="AJ39" s="2">
        <v>15859</v>
      </c>
      <c r="AK39" s="2">
        <v>20156</v>
      </c>
      <c r="AL39" s="17">
        <v>5371</v>
      </c>
      <c r="AM39" s="2"/>
      <c r="AN39" s="4">
        <v>19</v>
      </c>
      <c r="AO39" s="2">
        <v>46316</v>
      </c>
      <c r="AP39" s="2">
        <v>46042</v>
      </c>
      <c r="AQ39" s="17">
        <v>9403</v>
      </c>
      <c r="AR39" s="2"/>
      <c r="AS39" s="4">
        <v>19</v>
      </c>
      <c r="AT39" s="18"/>
      <c r="AU39" s="18"/>
      <c r="AV39" s="19"/>
      <c r="AW39" s="2"/>
      <c r="AX39" s="4">
        <v>19</v>
      </c>
      <c r="BC39" s="4">
        <v>19</v>
      </c>
      <c r="BH39" s="4">
        <v>19</v>
      </c>
      <c r="BI39" s="18"/>
      <c r="BJ39" s="18"/>
      <c r="BK39" s="19"/>
      <c r="BL39" s="2"/>
      <c r="BM39" s="4">
        <v>19</v>
      </c>
      <c r="BR39" s="4">
        <v>19</v>
      </c>
      <c r="BW39" s="4">
        <v>19</v>
      </c>
    </row>
    <row r="40" spans="4:75" ht="15" customHeight="1" x14ac:dyDescent="0.25">
      <c r="D40" t="s">
        <v>22</v>
      </c>
      <c r="E40" s="4">
        <v>19</v>
      </c>
      <c r="F40" s="18"/>
      <c r="G40" s="18"/>
      <c r="H40" s="19"/>
      <c r="I40" s="2"/>
      <c r="J40" s="4">
        <v>19</v>
      </c>
      <c r="K40" s="2">
        <v>12203</v>
      </c>
      <c r="L40" s="2">
        <v>22715</v>
      </c>
      <c r="M40" s="17">
        <v>4730</v>
      </c>
      <c r="N40" s="2"/>
      <c r="O40" s="4">
        <v>19</v>
      </c>
      <c r="P40" s="2">
        <v>32922</v>
      </c>
      <c r="Q40" s="2">
        <v>29905</v>
      </c>
      <c r="R40" s="17">
        <v>6871</v>
      </c>
      <c r="S40" s="2"/>
      <c r="T40" s="4">
        <v>19</v>
      </c>
      <c r="U40" s="2">
        <v>22492</v>
      </c>
      <c r="V40" s="2">
        <v>28859</v>
      </c>
      <c r="W40" s="17">
        <v>6124</v>
      </c>
      <c r="X40" s="2"/>
      <c r="Y40" s="4">
        <v>19</v>
      </c>
      <c r="AD40" s="4">
        <v>19</v>
      </c>
      <c r="AE40" s="2">
        <v>6354</v>
      </c>
      <c r="AF40" s="2">
        <v>10067</v>
      </c>
      <c r="AG40" s="17">
        <v>3473</v>
      </c>
      <c r="AH40" s="2"/>
      <c r="AI40" s="4">
        <v>19</v>
      </c>
      <c r="AJ40" s="2">
        <v>10280</v>
      </c>
      <c r="AK40" s="2">
        <v>13454</v>
      </c>
      <c r="AL40" s="17">
        <v>4405</v>
      </c>
      <c r="AM40" s="2"/>
      <c r="AN40" s="4">
        <v>19</v>
      </c>
      <c r="AO40" s="2">
        <v>38881</v>
      </c>
      <c r="AP40" s="2">
        <v>29689</v>
      </c>
      <c r="AQ40" s="17">
        <v>8235</v>
      </c>
      <c r="AR40" s="2"/>
      <c r="AS40" s="4">
        <v>19</v>
      </c>
      <c r="AT40" s="18"/>
      <c r="AU40" s="18"/>
      <c r="AV40" s="19"/>
      <c r="AW40" s="2"/>
      <c r="AX40" s="4">
        <v>19</v>
      </c>
      <c r="BC40" s="4">
        <v>19</v>
      </c>
      <c r="BH40" s="4">
        <v>19</v>
      </c>
      <c r="BI40" s="18"/>
      <c r="BJ40" s="18"/>
      <c r="BK40" s="19"/>
      <c r="BL40" s="2"/>
      <c r="BM40" s="4">
        <v>19</v>
      </c>
      <c r="BR40" s="4">
        <v>19</v>
      </c>
      <c r="BW40" s="4">
        <v>19</v>
      </c>
    </row>
    <row r="41" spans="4:75" ht="15" customHeight="1" x14ac:dyDescent="0.25">
      <c r="D41" t="s">
        <v>21</v>
      </c>
      <c r="E41" s="4">
        <v>20</v>
      </c>
      <c r="F41" s="18"/>
      <c r="G41" s="18"/>
      <c r="H41" s="19"/>
      <c r="I41" s="2"/>
      <c r="J41" s="4">
        <v>20</v>
      </c>
      <c r="K41" s="18"/>
      <c r="L41" s="18"/>
      <c r="M41" s="19"/>
      <c r="N41" s="2"/>
      <c r="O41" s="4">
        <v>20</v>
      </c>
      <c r="P41" s="2">
        <v>37846</v>
      </c>
      <c r="Q41" s="2">
        <v>33117</v>
      </c>
      <c r="R41" s="17">
        <v>8013</v>
      </c>
      <c r="S41" s="2"/>
      <c r="T41" s="4">
        <v>20</v>
      </c>
      <c r="U41" s="2">
        <v>29441</v>
      </c>
      <c r="V41" s="2">
        <v>29971</v>
      </c>
      <c r="W41" s="17">
        <v>8016</v>
      </c>
      <c r="X41" s="2"/>
      <c r="Y41" s="4">
        <v>20</v>
      </c>
      <c r="AD41" s="4">
        <v>20</v>
      </c>
      <c r="AE41" s="18"/>
      <c r="AF41" s="18"/>
      <c r="AG41" s="19"/>
      <c r="AH41" s="2"/>
      <c r="AI41" s="4">
        <v>20</v>
      </c>
      <c r="AJ41" s="2">
        <v>9519</v>
      </c>
      <c r="AK41" s="2">
        <v>18211</v>
      </c>
      <c r="AL41" s="17">
        <v>5742</v>
      </c>
      <c r="AM41" s="2"/>
      <c r="AN41" s="4">
        <v>20</v>
      </c>
      <c r="AO41" s="18"/>
      <c r="AP41" s="18"/>
      <c r="AQ41" s="19"/>
      <c r="AR41" s="2"/>
      <c r="AS41" s="4">
        <v>20</v>
      </c>
      <c r="AT41" s="18"/>
      <c r="AU41" s="18"/>
      <c r="AV41" s="19"/>
      <c r="AW41" s="2"/>
      <c r="AX41" s="4">
        <v>20</v>
      </c>
      <c r="BC41" s="4">
        <v>20</v>
      </c>
      <c r="BH41" s="4">
        <v>20</v>
      </c>
      <c r="BI41" s="18"/>
      <c r="BJ41" s="18"/>
      <c r="BK41" s="19"/>
      <c r="BL41" s="2"/>
      <c r="BM41" s="4">
        <v>20</v>
      </c>
      <c r="BR41" s="4">
        <v>20</v>
      </c>
      <c r="BW41" s="4">
        <v>20</v>
      </c>
    </row>
    <row r="42" spans="4:75" ht="15" customHeight="1" x14ac:dyDescent="0.25">
      <c r="D42" t="s">
        <v>22</v>
      </c>
      <c r="E42" s="4">
        <v>20</v>
      </c>
      <c r="F42" s="18"/>
      <c r="G42" s="18"/>
      <c r="H42" s="19"/>
      <c r="I42" s="2"/>
      <c r="J42" s="4">
        <v>20</v>
      </c>
      <c r="K42" s="18"/>
      <c r="L42" s="18"/>
      <c r="M42" s="19"/>
      <c r="N42" s="2"/>
      <c r="O42" s="4">
        <v>20</v>
      </c>
      <c r="P42" s="2">
        <v>36313</v>
      </c>
      <c r="Q42" s="2">
        <v>41667</v>
      </c>
      <c r="R42" s="17">
        <v>8236</v>
      </c>
      <c r="S42" s="2"/>
      <c r="T42" s="4">
        <v>20</v>
      </c>
      <c r="U42" s="2">
        <v>26838</v>
      </c>
      <c r="V42" s="2">
        <v>23905</v>
      </c>
      <c r="W42" s="17">
        <v>6603</v>
      </c>
      <c r="X42" s="2"/>
      <c r="Y42" s="4">
        <v>20</v>
      </c>
      <c r="AB42"/>
      <c r="AD42" s="4">
        <v>20</v>
      </c>
      <c r="AE42" s="18"/>
      <c r="AF42" s="18"/>
      <c r="AG42" s="19"/>
      <c r="AH42" s="2"/>
      <c r="AI42" s="4">
        <v>20</v>
      </c>
      <c r="AJ42" s="2">
        <v>7808</v>
      </c>
      <c r="AK42" s="2">
        <v>15014</v>
      </c>
      <c r="AL42" s="17">
        <v>3412</v>
      </c>
      <c r="AM42" s="2"/>
      <c r="AN42" s="4">
        <v>20</v>
      </c>
      <c r="AO42" s="18"/>
      <c r="AP42" s="18"/>
      <c r="AQ42" s="19"/>
      <c r="AR42" s="2"/>
      <c r="AS42" s="4">
        <v>20</v>
      </c>
      <c r="AT42" s="18"/>
      <c r="AU42" s="18"/>
      <c r="AV42" s="19"/>
      <c r="AW42" s="2"/>
      <c r="AX42" s="4">
        <v>20</v>
      </c>
      <c r="BC42" s="4">
        <v>20</v>
      </c>
      <c r="BH42" s="4">
        <v>20</v>
      </c>
      <c r="BI42" s="18"/>
      <c r="BJ42" s="18"/>
      <c r="BK42" s="19"/>
      <c r="BL42" s="2"/>
      <c r="BM42" s="4">
        <v>20</v>
      </c>
      <c r="BR42" s="4">
        <v>20</v>
      </c>
      <c r="BW42" s="4">
        <v>20</v>
      </c>
    </row>
    <row r="43" spans="4:75" x14ac:dyDescent="0.25">
      <c r="AB43"/>
    </row>
    <row r="44" spans="4:75" customFormat="1" x14ac:dyDescent="0.25"/>
    <row r="45" spans="4:75" customFormat="1" x14ac:dyDescent="0.25"/>
    <row r="46" spans="4:75" customFormat="1" x14ac:dyDescent="0.25"/>
    <row r="47" spans="4:75" customFormat="1" x14ac:dyDescent="0.25"/>
    <row r="48" spans="4:75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spans="28:28" customFormat="1" x14ac:dyDescent="0.25"/>
    <row r="738" spans="28:28" customFormat="1" x14ac:dyDescent="0.25"/>
    <row r="739" spans="28:28" customFormat="1" x14ac:dyDescent="0.25"/>
    <row r="740" spans="28:28" customFormat="1" x14ac:dyDescent="0.25"/>
    <row r="741" spans="28:28" customFormat="1" x14ac:dyDescent="0.25"/>
    <row r="742" spans="28:28" customFormat="1" x14ac:dyDescent="0.25"/>
    <row r="743" spans="28:28" customFormat="1" x14ac:dyDescent="0.25"/>
    <row r="744" spans="28:28" customFormat="1" x14ac:dyDescent="0.25"/>
    <row r="745" spans="28:28" customFormat="1" x14ac:dyDescent="0.25"/>
    <row r="746" spans="28:28" customFormat="1" x14ac:dyDescent="0.25"/>
    <row r="747" spans="28:28" customFormat="1" x14ac:dyDescent="0.25"/>
    <row r="748" spans="28:28" customFormat="1" x14ac:dyDescent="0.25"/>
    <row r="749" spans="28:28" customFormat="1" x14ac:dyDescent="0.25"/>
    <row r="750" spans="28:28" customFormat="1" x14ac:dyDescent="0.25"/>
    <row r="751" spans="28:28" customFormat="1" x14ac:dyDescent="0.25">
      <c r="AB751" s="21"/>
    </row>
    <row r="752" spans="28:28" customFormat="1" x14ac:dyDescent="0.25">
      <c r="AB752" s="21"/>
    </row>
  </sheetData>
  <autoFilter ref="D1:D752" xr:uid="{DB9E1F2B-DAD6-8F47-BCA4-70E4134DA24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F8ED0-2DC6-924C-BE0C-9D841D23A064}">
  <dimension ref="A1:CO20"/>
  <sheetViews>
    <sheetView workbookViewId="0">
      <selection activeCell="B2" sqref="B2"/>
    </sheetView>
  </sheetViews>
  <sheetFormatPr defaultColWidth="11" defaultRowHeight="15.75" x14ac:dyDescent="0.25"/>
  <sheetData>
    <row r="1" spans="1:93" x14ac:dyDescent="0.25">
      <c r="C1" t="s">
        <v>35</v>
      </c>
      <c r="H1" t="s">
        <v>36</v>
      </c>
      <c r="M1" t="s">
        <v>37</v>
      </c>
      <c r="R1" t="s">
        <v>38</v>
      </c>
      <c r="W1" t="s">
        <v>39</v>
      </c>
      <c r="AB1" t="s">
        <v>40</v>
      </c>
      <c r="AG1" t="s">
        <v>41</v>
      </c>
      <c r="AM1" t="s">
        <v>42</v>
      </c>
      <c r="AQ1" t="s">
        <v>43</v>
      </c>
      <c r="AV1" t="s">
        <v>44</v>
      </c>
      <c r="BA1" t="s">
        <v>46</v>
      </c>
      <c r="BF1" t="s">
        <v>45</v>
      </c>
      <c r="BL1" t="s">
        <v>47</v>
      </c>
      <c r="BP1" t="s">
        <v>48</v>
      </c>
      <c r="BU1" t="s">
        <v>49</v>
      </c>
    </row>
    <row r="2" spans="1:93" x14ac:dyDescent="0.25">
      <c r="B2" t="s">
        <v>50</v>
      </c>
      <c r="C2" t="s">
        <v>51</v>
      </c>
      <c r="D2" t="s">
        <v>52</v>
      </c>
      <c r="G2" t="s">
        <v>50</v>
      </c>
      <c r="H2" t="s">
        <v>51</v>
      </c>
      <c r="I2" t="s">
        <v>52</v>
      </c>
      <c r="L2" t="s">
        <v>50</v>
      </c>
      <c r="M2" t="s">
        <v>51</v>
      </c>
      <c r="N2" t="s">
        <v>52</v>
      </c>
      <c r="Q2" t="s">
        <v>50</v>
      </c>
      <c r="R2" t="s">
        <v>51</v>
      </c>
      <c r="S2" t="s">
        <v>52</v>
      </c>
      <c r="V2" t="s">
        <v>50</v>
      </c>
      <c r="W2" t="s">
        <v>51</v>
      </c>
      <c r="X2" t="s">
        <v>52</v>
      </c>
      <c r="AA2" t="s">
        <v>50</v>
      </c>
      <c r="AB2" t="s">
        <v>51</v>
      </c>
      <c r="AC2" t="s">
        <v>52</v>
      </c>
      <c r="AF2" t="s">
        <v>50</v>
      </c>
      <c r="AG2" t="s">
        <v>51</v>
      </c>
      <c r="AH2" t="s">
        <v>52</v>
      </c>
      <c r="AK2" t="s">
        <v>50</v>
      </c>
      <c r="AL2" t="s">
        <v>51</v>
      </c>
      <c r="AM2" t="s">
        <v>52</v>
      </c>
      <c r="AP2" t="s">
        <v>50</v>
      </c>
      <c r="AQ2" t="s">
        <v>51</v>
      </c>
      <c r="AR2" t="s">
        <v>52</v>
      </c>
      <c r="AU2" t="s">
        <v>50</v>
      </c>
      <c r="AV2" t="s">
        <v>51</v>
      </c>
      <c r="AW2" t="s">
        <v>52</v>
      </c>
      <c r="AZ2" t="s">
        <v>50</v>
      </c>
      <c r="BA2" t="s">
        <v>51</v>
      </c>
      <c r="BB2" t="s">
        <v>52</v>
      </c>
      <c r="BE2" t="s">
        <v>50</v>
      </c>
      <c r="BF2" t="s">
        <v>51</v>
      </c>
      <c r="BG2" t="s">
        <v>52</v>
      </c>
      <c r="BJ2" t="s">
        <v>50</v>
      </c>
      <c r="BK2" t="s">
        <v>51</v>
      </c>
      <c r="BL2" t="s">
        <v>52</v>
      </c>
      <c r="BO2" t="s">
        <v>50</v>
      </c>
      <c r="BP2" t="s">
        <v>51</v>
      </c>
      <c r="BQ2" t="s">
        <v>52</v>
      </c>
      <c r="BT2" t="s">
        <v>50</v>
      </c>
      <c r="BU2" t="s">
        <v>51</v>
      </c>
      <c r="BV2" t="s">
        <v>52</v>
      </c>
    </row>
    <row r="3" spans="1:93" x14ac:dyDescent="0.25">
      <c r="A3" s="88" t="s">
        <v>34</v>
      </c>
      <c r="B3" s="82">
        <v>9095</v>
      </c>
      <c r="C3" s="82">
        <v>21261</v>
      </c>
      <c r="D3" s="82">
        <v>6850</v>
      </c>
      <c r="E3" s="82"/>
      <c r="F3" s="82"/>
      <c r="G3" s="82" t="e">
        <v>#DIV/0!</v>
      </c>
      <c r="H3" s="82" t="e">
        <v>#DIV/0!</v>
      </c>
      <c r="I3" s="82" t="e">
        <v>#DIV/0!</v>
      </c>
      <c r="J3" s="82"/>
      <c r="K3" s="82"/>
      <c r="L3" s="82">
        <v>10472</v>
      </c>
      <c r="M3" s="82">
        <v>24504</v>
      </c>
      <c r="N3" s="82">
        <v>7253</v>
      </c>
      <c r="O3" s="82"/>
      <c r="P3" s="82"/>
      <c r="Q3" s="82">
        <v>9141</v>
      </c>
      <c r="R3" s="82">
        <v>20796</v>
      </c>
      <c r="S3" s="82">
        <v>6843</v>
      </c>
      <c r="T3" s="82"/>
      <c r="U3" s="82"/>
      <c r="V3" s="82">
        <v>12196</v>
      </c>
      <c r="W3" s="82">
        <v>31710</v>
      </c>
      <c r="X3" s="82">
        <v>8116</v>
      </c>
      <c r="Y3" s="82"/>
      <c r="Z3" s="82"/>
      <c r="AA3" s="82">
        <v>7090</v>
      </c>
      <c r="AB3" s="82">
        <v>21099</v>
      </c>
      <c r="AC3" s="82">
        <v>6180</v>
      </c>
      <c r="AD3" s="82"/>
      <c r="AE3" s="82"/>
      <c r="AF3" s="82">
        <v>8702</v>
      </c>
      <c r="AG3" s="82">
        <v>21543</v>
      </c>
      <c r="AH3" s="82">
        <v>6731</v>
      </c>
      <c r="AI3" s="82"/>
      <c r="AJ3" s="82"/>
      <c r="AK3" s="82">
        <v>12076</v>
      </c>
      <c r="AL3" s="82">
        <v>28260</v>
      </c>
      <c r="AM3" s="82">
        <v>8289</v>
      </c>
      <c r="AN3" s="82"/>
      <c r="AO3" s="82"/>
      <c r="AP3" s="82">
        <v>10705</v>
      </c>
      <c r="AQ3" s="82">
        <v>23294</v>
      </c>
      <c r="AR3" s="82">
        <v>7711</v>
      </c>
      <c r="AS3" s="82"/>
      <c r="AT3" s="82"/>
      <c r="AU3" s="82">
        <v>10647</v>
      </c>
      <c r="AV3" s="82">
        <v>28267</v>
      </c>
      <c r="AW3" s="82">
        <v>8168</v>
      </c>
      <c r="AX3" s="82"/>
      <c r="AY3" s="82"/>
      <c r="AZ3" s="82">
        <v>8202</v>
      </c>
      <c r="BA3" s="82">
        <v>19114</v>
      </c>
      <c r="BB3" s="82">
        <v>5756</v>
      </c>
      <c r="BC3" s="82"/>
      <c r="BD3" s="82"/>
      <c r="BE3" s="82">
        <v>16009</v>
      </c>
      <c r="BF3" s="82">
        <v>27677</v>
      </c>
      <c r="BG3" s="82">
        <v>8882</v>
      </c>
      <c r="BH3" s="82"/>
      <c r="BI3" s="82"/>
      <c r="BJ3" s="82">
        <v>12540</v>
      </c>
      <c r="BK3" s="82">
        <v>23355</v>
      </c>
      <c r="BL3" s="82">
        <v>7268</v>
      </c>
      <c r="BM3" s="82"/>
      <c r="BN3" s="82"/>
      <c r="BO3" s="82">
        <v>8898</v>
      </c>
      <c r="BP3" s="82">
        <v>19633</v>
      </c>
      <c r="BQ3" s="82">
        <v>6032</v>
      </c>
      <c r="BR3" s="82"/>
      <c r="BS3" s="82"/>
      <c r="BT3" s="82">
        <v>9309</v>
      </c>
      <c r="BU3" s="82">
        <v>21610</v>
      </c>
      <c r="BV3" s="82">
        <v>6999</v>
      </c>
      <c r="BW3" s="82"/>
      <c r="BX3" s="82"/>
      <c r="BY3" s="82"/>
    </row>
    <row r="4" spans="1:93" x14ac:dyDescent="0.25">
      <c r="A4" s="89" t="s">
        <v>33</v>
      </c>
      <c r="B4" s="2">
        <v>17727.297385620914</v>
      </c>
      <c r="C4" s="2">
        <v>29921.176470588238</v>
      </c>
      <c r="D4" s="2">
        <v>8482.0424836601305</v>
      </c>
      <c r="E4" s="2"/>
      <c r="F4" s="2"/>
      <c r="G4" s="2">
        <v>19219.526315789473</v>
      </c>
      <c r="H4" s="2">
        <v>32435.052631578947</v>
      </c>
      <c r="I4" s="2">
        <v>8800.8421052631584</v>
      </c>
      <c r="J4" s="2"/>
      <c r="K4" s="2"/>
      <c r="L4" s="2">
        <v>34466.947368421053</v>
      </c>
      <c r="M4" s="2">
        <v>44085.639473684205</v>
      </c>
      <c r="N4" s="2">
        <v>12071.663157894736</v>
      </c>
      <c r="O4" s="2"/>
      <c r="P4" s="2"/>
      <c r="Q4" s="2">
        <v>21966.036842105263</v>
      </c>
      <c r="R4" s="2">
        <v>35956.452631578948</v>
      </c>
      <c r="S4" s="2">
        <v>10017.776315789473</v>
      </c>
      <c r="T4" s="2"/>
      <c r="U4" s="2"/>
      <c r="V4" s="2">
        <v>20321.681818181816</v>
      </c>
      <c r="W4" s="2">
        <v>36507.083333333328</v>
      </c>
      <c r="X4" s="2">
        <v>9845.5984848484841</v>
      </c>
      <c r="Y4" s="2"/>
      <c r="Z4" s="2"/>
      <c r="AA4" s="2">
        <v>19667.257894736842</v>
      </c>
      <c r="AB4" s="2">
        <v>33351.131578947367</v>
      </c>
      <c r="AC4" s="2">
        <v>8891.1263157894737</v>
      </c>
      <c r="AD4" s="2"/>
      <c r="AE4" s="2"/>
      <c r="AF4" s="2">
        <v>21066.744736842105</v>
      </c>
      <c r="AG4" s="2">
        <v>34051.947368421053</v>
      </c>
      <c r="AH4" s="2">
        <v>9636.0815789473672</v>
      </c>
      <c r="AI4" s="2"/>
      <c r="AJ4" s="2"/>
      <c r="AK4" s="2">
        <v>30130.868421052633</v>
      </c>
      <c r="AL4" s="2">
        <v>45583.697368421053</v>
      </c>
      <c r="AM4" s="2">
        <v>11430.5</v>
      </c>
      <c r="AN4" s="2"/>
      <c r="AO4" s="2"/>
      <c r="AP4" s="2">
        <v>29773.85</v>
      </c>
      <c r="AQ4" s="2">
        <v>44034.673684210531</v>
      </c>
      <c r="AR4" s="2">
        <v>11497.044736842105</v>
      </c>
      <c r="AS4" s="2"/>
      <c r="AT4" s="2"/>
      <c r="AU4" s="2">
        <v>27220.916666666664</v>
      </c>
      <c r="AV4" s="2">
        <v>42135.977272727272</v>
      </c>
      <c r="AW4" s="2">
        <v>11194.742424242424</v>
      </c>
      <c r="AX4" s="2"/>
      <c r="AY4" s="2"/>
      <c r="AZ4" s="2">
        <v>12112.880952380952</v>
      </c>
      <c r="BA4" s="2">
        <v>22038.142857142855</v>
      </c>
      <c r="BB4" s="2">
        <v>6371.3095238095239</v>
      </c>
      <c r="BC4" s="2"/>
      <c r="BD4" s="2"/>
      <c r="BE4" s="2">
        <v>39576.486842105267</v>
      </c>
      <c r="BF4" s="2">
        <v>41677.321052631582</v>
      </c>
      <c r="BG4" s="2">
        <v>12219.781578947368</v>
      </c>
      <c r="BH4" s="2"/>
      <c r="BI4" s="2"/>
      <c r="BJ4" s="2">
        <v>32068.125</v>
      </c>
      <c r="BK4" s="2">
        <v>37722.16071428571</v>
      </c>
      <c r="BL4" s="2">
        <v>10609.178571428572</v>
      </c>
      <c r="BM4" s="2"/>
      <c r="BN4" s="2"/>
      <c r="BO4" s="2">
        <v>21714.966666666667</v>
      </c>
      <c r="BP4" s="2">
        <v>30278.3</v>
      </c>
      <c r="BQ4" s="2">
        <v>8907.6</v>
      </c>
      <c r="BR4" s="2"/>
      <c r="BS4" s="2"/>
      <c r="BT4" s="2">
        <v>22754.166666666664</v>
      </c>
      <c r="BU4" s="2">
        <v>35517.106060606064</v>
      </c>
      <c r="BV4" s="2">
        <v>10236.39393939394</v>
      </c>
    </row>
    <row r="5" spans="1:93" x14ac:dyDescent="0.25">
      <c r="A5" t="s">
        <v>34</v>
      </c>
      <c r="B5" s="2">
        <v>27449.5</v>
      </c>
      <c r="C5" s="2">
        <v>48338</v>
      </c>
      <c r="D5" s="2">
        <v>10810.666666666668</v>
      </c>
      <c r="E5" s="2"/>
      <c r="F5" s="2"/>
      <c r="G5" s="2">
        <v>36362.15789473684</v>
      </c>
      <c r="H5" s="2">
        <v>51240.578947368427</v>
      </c>
      <c r="I5" s="2">
        <v>11750.631578947368</v>
      </c>
      <c r="J5" s="2"/>
      <c r="K5" s="2"/>
      <c r="L5" s="2">
        <v>70606.784313725497</v>
      </c>
      <c r="M5" s="2">
        <v>72945.983660130718</v>
      </c>
      <c r="N5" s="2">
        <v>16181.091503267973</v>
      </c>
      <c r="O5" s="2"/>
      <c r="P5" s="2"/>
      <c r="Q5" s="2">
        <v>47405.789473684214</v>
      </c>
      <c r="R5" s="2">
        <v>55898.68421052632</v>
      </c>
      <c r="S5" s="2">
        <v>13252.473684210527</v>
      </c>
      <c r="T5" s="2"/>
      <c r="U5" s="2"/>
      <c r="V5" s="2">
        <v>28570.142857142855</v>
      </c>
      <c r="W5" s="2">
        <v>50641.142857142855</v>
      </c>
      <c r="X5" s="2">
        <v>10731.428571428572</v>
      </c>
      <c r="Y5" s="2"/>
      <c r="Z5" s="2"/>
      <c r="AA5" s="2">
        <v>29725.285714285714</v>
      </c>
      <c r="AB5" s="2">
        <v>43562.428571428572</v>
      </c>
      <c r="AC5" s="2">
        <v>10647.285714285714</v>
      </c>
      <c r="AD5" s="2"/>
      <c r="AE5" s="2"/>
      <c r="AF5" s="2">
        <v>39997.117647058825</v>
      </c>
      <c r="AG5" s="2">
        <v>47221.823529411762</v>
      </c>
      <c r="AH5" s="2">
        <v>11652.941176470587</v>
      </c>
      <c r="AI5" s="2"/>
      <c r="AJ5" s="2"/>
      <c r="AK5" s="2">
        <v>74858.411764705874</v>
      </c>
      <c r="AL5" s="2">
        <v>80141.176470588238</v>
      </c>
      <c r="AM5" s="2">
        <v>16350.705882352941</v>
      </c>
      <c r="AN5" s="2"/>
      <c r="AO5" s="2"/>
      <c r="AP5" s="2">
        <v>74800.588235294126</v>
      </c>
      <c r="AQ5" s="2">
        <v>84732.882352941175</v>
      </c>
      <c r="AR5" s="2">
        <v>16594.411764705881</v>
      </c>
      <c r="AS5" s="2"/>
      <c r="AT5" s="2"/>
      <c r="AU5" s="2">
        <v>39273.833333333328</v>
      </c>
      <c r="AV5" s="2">
        <v>48117.333333333336</v>
      </c>
      <c r="AW5" s="2">
        <v>13465.5</v>
      </c>
      <c r="AX5" s="2"/>
      <c r="AY5" s="2"/>
      <c r="AZ5" s="2">
        <v>15550</v>
      </c>
      <c r="BA5" s="2">
        <v>26172.799999999999</v>
      </c>
      <c r="BB5" s="2">
        <v>7513.4</v>
      </c>
      <c r="BC5" s="2"/>
      <c r="BD5" s="2"/>
      <c r="BE5" s="2">
        <v>88275.76470588235</v>
      </c>
      <c r="BF5" s="2">
        <v>73726</v>
      </c>
      <c r="BG5" s="2">
        <v>17570.411764705881</v>
      </c>
      <c r="BH5" s="2"/>
      <c r="BI5" s="2"/>
      <c r="BJ5" s="2">
        <v>72840.142857142855</v>
      </c>
      <c r="BK5" s="2">
        <v>60607.571428571435</v>
      </c>
      <c r="BL5" s="2">
        <v>15569.571428571428</v>
      </c>
      <c r="BM5" s="2"/>
      <c r="BN5" s="2"/>
      <c r="BO5" s="2">
        <v>67074</v>
      </c>
      <c r="BP5" s="2">
        <v>66502</v>
      </c>
      <c r="BQ5" s="2">
        <v>16155.5</v>
      </c>
      <c r="BR5" s="2"/>
      <c r="BS5" s="2"/>
      <c r="BT5" s="2">
        <v>46728.788888888892</v>
      </c>
      <c r="BU5" s="2">
        <v>58483.5</v>
      </c>
      <c r="BV5" s="2">
        <v>13460.2</v>
      </c>
    </row>
    <row r="7" spans="1:93" x14ac:dyDescent="0.25">
      <c r="A7" t="s">
        <v>53</v>
      </c>
      <c r="B7" s="2">
        <f>B4-B3</f>
        <v>8632.2973856209137</v>
      </c>
      <c r="C7" s="2">
        <f t="shared" ref="C7:BL7" si="0">C4-C3</f>
        <v>8660.1764705882379</v>
      </c>
      <c r="D7" s="2">
        <f t="shared" si="0"/>
        <v>1632.0424836601305</v>
      </c>
      <c r="E7" s="2"/>
      <c r="F7" s="2"/>
      <c r="G7" s="2" t="e">
        <f>G4-G3</f>
        <v>#DIV/0!</v>
      </c>
      <c r="H7" s="2" t="e">
        <f t="shared" si="0"/>
        <v>#DIV/0!</v>
      </c>
      <c r="I7" s="2" t="e">
        <f t="shared" si="0"/>
        <v>#DIV/0!</v>
      </c>
      <c r="J7" s="2"/>
      <c r="K7" s="2"/>
      <c r="L7" s="2">
        <f t="shared" si="0"/>
        <v>23994.947368421053</v>
      </c>
      <c r="M7" s="2">
        <f t="shared" si="0"/>
        <v>19581.639473684205</v>
      </c>
      <c r="N7" s="2">
        <f t="shared" si="0"/>
        <v>4818.6631578947363</v>
      </c>
      <c r="O7" s="2"/>
      <c r="P7" s="2"/>
      <c r="Q7" s="2">
        <f t="shared" si="0"/>
        <v>12825.036842105263</v>
      </c>
      <c r="R7" s="2">
        <f t="shared" si="0"/>
        <v>15160.452631578948</v>
      </c>
      <c r="S7" s="2">
        <f t="shared" si="0"/>
        <v>3174.7763157894733</v>
      </c>
      <c r="T7" s="2"/>
      <c r="U7" s="2"/>
      <c r="V7" s="2">
        <f t="shared" si="0"/>
        <v>8125.6818181818162</v>
      </c>
      <c r="W7" s="2">
        <f t="shared" si="0"/>
        <v>4797.0833333333285</v>
      </c>
      <c r="X7" s="2">
        <f t="shared" si="0"/>
        <v>1729.5984848484841</v>
      </c>
      <c r="Y7" s="2"/>
      <c r="Z7" s="2"/>
      <c r="AA7" s="2">
        <f t="shared" si="0"/>
        <v>12577.257894736842</v>
      </c>
      <c r="AB7" s="2">
        <f t="shared" si="0"/>
        <v>12252.131578947367</v>
      </c>
      <c r="AC7" s="2">
        <f t="shared" si="0"/>
        <v>2711.1263157894737</v>
      </c>
      <c r="AD7" s="2"/>
      <c r="AE7" s="2"/>
      <c r="AF7" s="2">
        <f t="shared" si="0"/>
        <v>12364.744736842105</v>
      </c>
      <c r="AG7" s="2">
        <f t="shared" si="0"/>
        <v>12508.947368421053</v>
      </c>
      <c r="AH7" s="2">
        <f t="shared" si="0"/>
        <v>2905.0815789473672</v>
      </c>
      <c r="AI7" s="2"/>
      <c r="AJ7" s="2"/>
      <c r="AK7" s="2">
        <f t="shared" si="0"/>
        <v>18054.868421052633</v>
      </c>
      <c r="AL7" s="2">
        <f t="shared" si="0"/>
        <v>17323.697368421053</v>
      </c>
      <c r="AM7" s="2">
        <f t="shared" si="0"/>
        <v>3141.5</v>
      </c>
      <c r="AN7" s="2"/>
      <c r="AO7" s="2"/>
      <c r="AP7" s="2">
        <f t="shared" si="0"/>
        <v>19068.849999999999</v>
      </c>
      <c r="AQ7" s="2">
        <f t="shared" si="0"/>
        <v>20740.673684210531</v>
      </c>
      <c r="AR7" s="2">
        <f t="shared" si="0"/>
        <v>3786.0447368421046</v>
      </c>
      <c r="AS7" s="2"/>
      <c r="AT7" s="2"/>
      <c r="AU7" s="2">
        <f t="shared" si="0"/>
        <v>16573.916666666664</v>
      </c>
      <c r="AV7" s="2">
        <f t="shared" si="0"/>
        <v>13868.977272727272</v>
      </c>
      <c r="AW7" s="2">
        <f t="shared" si="0"/>
        <v>3026.742424242424</v>
      </c>
      <c r="AX7" s="2"/>
      <c r="AY7" s="2"/>
      <c r="AZ7" s="2">
        <f t="shared" si="0"/>
        <v>3910.8809523809523</v>
      </c>
      <c r="BA7" s="2">
        <f t="shared" si="0"/>
        <v>2924.1428571428551</v>
      </c>
      <c r="BB7" s="2">
        <f t="shared" si="0"/>
        <v>615.30952380952385</v>
      </c>
      <c r="BC7" s="2"/>
      <c r="BD7" s="2"/>
      <c r="BE7" s="2">
        <f t="shared" si="0"/>
        <v>23567.486842105267</v>
      </c>
      <c r="BF7" s="2">
        <f t="shared" si="0"/>
        <v>14000.321052631582</v>
      </c>
      <c r="BG7" s="2">
        <f t="shared" si="0"/>
        <v>3337.781578947368</v>
      </c>
      <c r="BH7" s="2"/>
      <c r="BI7" s="2"/>
      <c r="BJ7" s="2">
        <f t="shared" si="0"/>
        <v>19528.125</v>
      </c>
      <c r="BK7" s="2">
        <f t="shared" si="0"/>
        <v>14367.16071428571</v>
      </c>
      <c r="BL7" s="2">
        <f t="shared" si="0"/>
        <v>3341.1785714285725</v>
      </c>
      <c r="BM7" s="2"/>
      <c r="BN7" s="2"/>
      <c r="BO7" s="2">
        <f t="shared" ref="BO7:BV7" si="1">BO4-BO3</f>
        <v>12816.966666666667</v>
      </c>
      <c r="BP7" s="2">
        <f t="shared" si="1"/>
        <v>10645.3</v>
      </c>
      <c r="BQ7" s="2">
        <f t="shared" si="1"/>
        <v>2875.6000000000004</v>
      </c>
      <c r="BR7" s="2"/>
      <c r="BS7" s="2"/>
      <c r="BT7" s="2">
        <f t="shared" si="1"/>
        <v>13445.166666666664</v>
      </c>
      <c r="BU7" s="2">
        <f t="shared" si="1"/>
        <v>13907.106060606064</v>
      </c>
      <c r="BV7" s="2">
        <f t="shared" si="1"/>
        <v>3237.3939393939399</v>
      </c>
      <c r="BW7" s="2"/>
      <c r="BX7" s="2"/>
      <c r="BY7" s="2"/>
    </row>
    <row r="8" spans="1:93" x14ac:dyDescent="0.25">
      <c r="A8" t="s">
        <v>54</v>
      </c>
      <c r="B8" s="2">
        <f>B5-B4</f>
        <v>9722.2026143790863</v>
      </c>
      <c r="C8" s="2">
        <f t="shared" ref="C8:BL8" si="2">C5-C4</f>
        <v>18416.823529411762</v>
      </c>
      <c r="D8" s="2">
        <f t="shared" si="2"/>
        <v>2328.6241830065374</v>
      </c>
      <c r="E8" s="2"/>
      <c r="F8" s="2"/>
      <c r="G8" s="2">
        <f t="shared" si="2"/>
        <v>17142.631578947367</v>
      </c>
      <c r="H8" s="2">
        <f t="shared" si="2"/>
        <v>18805.526315789481</v>
      </c>
      <c r="I8" s="2">
        <f t="shared" si="2"/>
        <v>2949.78947368421</v>
      </c>
      <c r="J8" s="2"/>
      <c r="K8" s="2"/>
      <c r="L8" s="2">
        <f t="shared" si="2"/>
        <v>36139.836945304443</v>
      </c>
      <c r="M8" s="2">
        <f t="shared" si="2"/>
        <v>28860.344186446513</v>
      </c>
      <c r="N8" s="2">
        <f t="shared" si="2"/>
        <v>4109.4283453732369</v>
      </c>
      <c r="O8" s="2"/>
      <c r="P8" s="2"/>
      <c r="Q8" s="2">
        <f t="shared" si="2"/>
        <v>25439.752631578951</v>
      </c>
      <c r="R8" s="2">
        <f t="shared" si="2"/>
        <v>19942.231578947372</v>
      </c>
      <c r="S8" s="2">
        <f t="shared" si="2"/>
        <v>3234.6973684210534</v>
      </c>
      <c r="T8" s="2"/>
      <c r="U8" s="2"/>
      <c r="V8" s="2">
        <f t="shared" si="2"/>
        <v>8248.4610389610389</v>
      </c>
      <c r="W8" s="2">
        <f t="shared" si="2"/>
        <v>14134.059523809527</v>
      </c>
      <c r="X8" s="2">
        <f t="shared" si="2"/>
        <v>885.83008658008839</v>
      </c>
      <c r="Y8" s="2"/>
      <c r="Z8" s="2"/>
      <c r="AA8" s="2">
        <f t="shared" si="2"/>
        <v>10058.027819548872</v>
      </c>
      <c r="AB8" s="2">
        <f t="shared" si="2"/>
        <v>10211.296992481206</v>
      </c>
      <c r="AC8" s="2">
        <f t="shared" si="2"/>
        <v>1756.1593984962401</v>
      </c>
      <c r="AD8" s="2"/>
      <c r="AE8" s="2"/>
      <c r="AF8" s="2">
        <f t="shared" si="2"/>
        <v>18930.37291021672</v>
      </c>
      <c r="AG8" s="2">
        <f t="shared" si="2"/>
        <v>13169.876160990709</v>
      </c>
      <c r="AH8" s="2">
        <f t="shared" si="2"/>
        <v>2016.8595975232201</v>
      </c>
      <c r="AI8" s="2"/>
      <c r="AJ8" s="2"/>
      <c r="AK8" s="2">
        <f t="shared" si="2"/>
        <v>44727.54334365324</v>
      </c>
      <c r="AL8" s="2">
        <f t="shared" si="2"/>
        <v>34557.479102167184</v>
      </c>
      <c r="AM8" s="2">
        <f t="shared" si="2"/>
        <v>4920.2058823529405</v>
      </c>
      <c r="AN8" s="2"/>
      <c r="AO8" s="2"/>
      <c r="AP8" s="2">
        <f t="shared" si="2"/>
        <v>45026.738235294128</v>
      </c>
      <c r="AQ8" s="2">
        <f t="shared" si="2"/>
        <v>40698.208668730644</v>
      </c>
      <c r="AR8" s="2">
        <f t="shared" si="2"/>
        <v>5097.3670278637765</v>
      </c>
      <c r="AS8" s="2"/>
      <c r="AT8" s="2"/>
      <c r="AU8" s="2">
        <f t="shared" si="2"/>
        <v>12052.916666666664</v>
      </c>
      <c r="AV8" s="2">
        <f t="shared" si="2"/>
        <v>5981.3560606060637</v>
      </c>
      <c r="AW8" s="2">
        <f t="shared" si="2"/>
        <v>2270.757575757576</v>
      </c>
      <c r="AX8" s="2"/>
      <c r="AY8" s="2"/>
      <c r="AZ8" s="2">
        <f t="shared" si="2"/>
        <v>3437.1190476190477</v>
      </c>
      <c r="BA8" s="2">
        <f t="shared" si="2"/>
        <v>4134.6571428571442</v>
      </c>
      <c r="BB8" s="2">
        <f t="shared" si="2"/>
        <v>1142.0904761904758</v>
      </c>
      <c r="BC8" s="2"/>
      <c r="BD8" s="2"/>
      <c r="BE8" s="2">
        <f t="shared" si="2"/>
        <v>48699.277863777083</v>
      </c>
      <c r="BF8" s="2">
        <f t="shared" si="2"/>
        <v>32048.678947368418</v>
      </c>
      <c r="BG8" s="2">
        <f t="shared" si="2"/>
        <v>5350.6301857585131</v>
      </c>
      <c r="BH8" s="2"/>
      <c r="BI8" s="2"/>
      <c r="BJ8" s="2">
        <f t="shared" si="2"/>
        <v>40772.017857142855</v>
      </c>
      <c r="BK8" s="2">
        <f t="shared" si="2"/>
        <v>22885.410714285725</v>
      </c>
      <c r="BL8" s="2">
        <f t="shared" si="2"/>
        <v>4960.3928571428551</v>
      </c>
      <c r="BM8" s="2"/>
      <c r="BN8" s="2"/>
      <c r="BO8" s="2">
        <f t="shared" ref="BO8:BV8" si="3">BO5-BO4</f>
        <v>45359.033333333333</v>
      </c>
      <c r="BP8" s="2">
        <f t="shared" si="3"/>
        <v>36223.699999999997</v>
      </c>
      <c r="BQ8" s="2">
        <f t="shared" si="3"/>
        <v>7247.9</v>
      </c>
      <c r="BR8" s="2"/>
      <c r="BS8" s="2"/>
      <c r="BT8" s="2">
        <f t="shared" si="3"/>
        <v>23974.622222222228</v>
      </c>
      <c r="BU8" s="2">
        <f t="shared" si="3"/>
        <v>22966.393939393936</v>
      </c>
      <c r="BV8" s="2">
        <f t="shared" si="3"/>
        <v>3223.8060606060608</v>
      </c>
      <c r="BW8" s="2"/>
      <c r="BX8" s="2"/>
      <c r="BY8" s="2"/>
    </row>
    <row r="9" spans="1:93" x14ac:dyDescent="0.25">
      <c r="A9" t="s">
        <v>55</v>
      </c>
      <c r="B9" s="2">
        <f>B5-B3</f>
        <v>18354.5</v>
      </c>
      <c r="C9" s="2">
        <f t="shared" ref="C9:BL9" si="4">C5-C3</f>
        <v>27077</v>
      </c>
      <c r="D9" s="2">
        <f t="shared" si="4"/>
        <v>3960.6666666666679</v>
      </c>
      <c r="E9" s="2"/>
      <c r="F9" s="2"/>
      <c r="G9" s="2" t="e">
        <f t="shared" si="4"/>
        <v>#DIV/0!</v>
      </c>
      <c r="H9" s="2" t="e">
        <f t="shared" si="4"/>
        <v>#DIV/0!</v>
      </c>
      <c r="I9" s="2" t="e">
        <f t="shared" si="4"/>
        <v>#DIV/0!</v>
      </c>
      <c r="J9" s="2"/>
      <c r="K9" s="2"/>
      <c r="L9" s="2">
        <f t="shared" si="4"/>
        <v>60134.784313725497</v>
      </c>
      <c r="M9" s="2">
        <f t="shared" si="4"/>
        <v>48441.983660130718</v>
      </c>
      <c r="N9" s="2">
        <f t="shared" si="4"/>
        <v>8928.0915032679732</v>
      </c>
      <c r="O9" s="2"/>
      <c r="P9" s="2"/>
      <c r="Q9" s="2">
        <f t="shared" si="4"/>
        <v>38264.789473684214</v>
      </c>
      <c r="R9" s="2">
        <f t="shared" si="4"/>
        <v>35102.68421052632</v>
      </c>
      <c r="S9" s="2">
        <f t="shared" si="4"/>
        <v>6409.4736842105267</v>
      </c>
      <c r="T9" s="2"/>
      <c r="U9" s="2"/>
      <c r="V9" s="2">
        <f t="shared" si="4"/>
        <v>16374.142857142855</v>
      </c>
      <c r="W9" s="2">
        <f t="shared" si="4"/>
        <v>18931.142857142855</v>
      </c>
      <c r="X9" s="2">
        <f t="shared" si="4"/>
        <v>2615.4285714285725</v>
      </c>
      <c r="Y9" s="2"/>
      <c r="Z9" s="2"/>
      <c r="AA9" s="2">
        <f t="shared" si="4"/>
        <v>22635.285714285714</v>
      </c>
      <c r="AB9" s="2">
        <f t="shared" si="4"/>
        <v>22463.428571428572</v>
      </c>
      <c r="AC9" s="2">
        <f t="shared" si="4"/>
        <v>4467.2857142857138</v>
      </c>
      <c r="AD9" s="2"/>
      <c r="AE9" s="2"/>
      <c r="AF9" s="2">
        <f t="shared" si="4"/>
        <v>31295.117647058825</v>
      </c>
      <c r="AG9" s="2">
        <f t="shared" si="4"/>
        <v>25678.823529411762</v>
      </c>
      <c r="AH9" s="2">
        <f t="shared" si="4"/>
        <v>4921.9411764705874</v>
      </c>
      <c r="AI9" s="2"/>
      <c r="AJ9" s="2"/>
      <c r="AK9" s="2">
        <f t="shared" si="4"/>
        <v>62782.411764705874</v>
      </c>
      <c r="AL9" s="2">
        <f t="shared" si="4"/>
        <v>51881.176470588238</v>
      </c>
      <c r="AM9" s="2">
        <f t="shared" si="4"/>
        <v>8061.7058823529405</v>
      </c>
      <c r="AN9" s="2"/>
      <c r="AO9" s="2"/>
      <c r="AP9" s="2">
        <f t="shared" si="4"/>
        <v>64095.588235294126</v>
      </c>
      <c r="AQ9" s="2">
        <f t="shared" si="4"/>
        <v>61438.882352941175</v>
      </c>
      <c r="AR9" s="2">
        <f t="shared" si="4"/>
        <v>8883.4117647058811</v>
      </c>
      <c r="AS9" s="2"/>
      <c r="AT9" s="2"/>
      <c r="AU9" s="2">
        <f t="shared" si="4"/>
        <v>28626.833333333328</v>
      </c>
      <c r="AV9" s="2">
        <f t="shared" si="4"/>
        <v>19850.333333333336</v>
      </c>
      <c r="AW9" s="2">
        <f t="shared" si="4"/>
        <v>5297.5</v>
      </c>
      <c r="AX9" s="2"/>
      <c r="AY9" s="2"/>
      <c r="AZ9" s="2">
        <f t="shared" si="4"/>
        <v>7348</v>
      </c>
      <c r="BA9" s="2">
        <f t="shared" si="4"/>
        <v>7058.7999999999993</v>
      </c>
      <c r="BB9" s="2">
        <f t="shared" si="4"/>
        <v>1757.3999999999996</v>
      </c>
      <c r="BC9" s="2"/>
      <c r="BD9" s="2"/>
      <c r="BE9" s="2">
        <f t="shared" si="4"/>
        <v>72266.76470588235</v>
      </c>
      <c r="BF9" s="2">
        <f t="shared" si="4"/>
        <v>46049</v>
      </c>
      <c r="BG9" s="2">
        <f t="shared" si="4"/>
        <v>8688.4117647058811</v>
      </c>
      <c r="BH9" s="2"/>
      <c r="BI9" s="2"/>
      <c r="BJ9" s="2">
        <f t="shared" si="4"/>
        <v>60300.142857142855</v>
      </c>
      <c r="BK9" s="2">
        <f t="shared" si="4"/>
        <v>37252.571428571435</v>
      </c>
      <c r="BL9" s="2">
        <f t="shared" si="4"/>
        <v>8301.5714285714275</v>
      </c>
      <c r="BM9" s="2"/>
      <c r="BN9" s="2"/>
      <c r="BO9" s="2">
        <f t="shared" ref="BO9:BV9" si="5">BO5-BO3</f>
        <v>58176</v>
      </c>
      <c r="BP9" s="2">
        <f t="shared" si="5"/>
        <v>46869</v>
      </c>
      <c r="BQ9" s="2">
        <f t="shared" si="5"/>
        <v>10123.5</v>
      </c>
      <c r="BR9" s="2"/>
      <c r="BS9" s="2"/>
      <c r="BT9" s="2">
        <f t="shared" si="5"/>
        <v>37419.788888888892</v>
      </c>
      <c r="BU9" s="2">
        <f t="shared" si="5"/>
        <v>36873.5</v>
      </c>
      <c r="BV9" s="2">
        <f t="shared" si="5"/>
        <v>6461.2000000000007</v>
      </c>
      <c r="BW9" s="2"/>
      <c r="BX9" s="2"/>
      <c r="BY9" s="2"/>
    </row>
    <row r="10" spans="1:93" x14ac:dyDescent="0.25">
      <c r="A10" t="s">
        <v>58</v>
      </c>
      <c r="B10">
        <f t="shared" ref="B10:D11" si="6">B4/B3</f>
        <v>1.9491256058956474</v>
      </c>
      <c r="C10">
        <f t="shared" si="6"/>
        <v>1.4073268647094792</v>
      </c>
      <c r="D10">
        <f t="shared" si="6"/>
        <v>1.2382543771766614</v>
      </c>
      <c r="G10" t="e">
        <f t="shared" ref="G10:I11" si="7">G4/G3</f>
        <v>#DIV/0!</v>
      </c>
      <c r="H10" t="e">
        <f t="shared" si="7"/>
        <v>#DIV/0!</v>
      </c>
      <c r="I10" t="e">
        <f t="shared" si="7"/>
        <v>#DIV/0!</v>
      </c>
      <c r="L10">
        <f t="shared" ref="L10:N11" si="8">L4/L3</f>
        <v>3.2913433315910097</v>
      </c>
      <c r="M10">
        <f t="shared" si="8"/>
        <v>1.7991201221712456</v>
      </c>
      <c r="N10">
        <f t="shared" si="8"/>
        <v>1.6643682831786484</v>
      </c>
      <c r="Q10">
        <f t="shared" ref="Q10:S11" si="9">Q4/Q3</f>
        <v>2.403023393732115</v>
      </c>
      <c r="R10">
        <f t="shared" si="9"/>
        <v>1.729008108846843</v>
      </c>
      <c r="S10">
        <f t="shared" si="9"/>
        <v>1.46394509948699</v>
      </c>
      <c r="V10">
        <f t="shared" ref="V10:X11" si="10">V4/V3</f>
        <v>1.6662579385193355</v>
      </c>
      <c r="W10">
        <f t="shared" si="10"/>
        <v>1.1512798276043308</v>
      </c>
      <c r="X10">
        <f t="shared" si="10"/>
        <v>1.2131097196708334</v>
      </c>
      <c r="AA10">
        <f t="shared" ref="AA10:AC11" si="11">AA4/AA3</f>
        <v>2.7739432855764234</v>
      </c>
      <c r="AB10">
        <f t="shared" si="11"/>
        <v>1.5806972642754333</v>
      </c>
      <c r="AC10">
        <f t="shared" si="11"/>
        <v>1.438693578606711</v>
      </c>
      <c r="AF10">
        <f t="shared" ref="AF10:AH11" si="12">AF4/AF3</f>
        <v>2.4209083816182608</v>
      </c>
      <c r="AG10">
        <f t="shared" si="12"/>
        <v>1.5806502050977604</v>
      </c>
      <c r="AH10">
        <f t="shared" si="12"/>
        <v>1.4315973226782599</v>
      </c>
      <c r="AK10">
        <f t="shared" ref="AK10:AM11" si="13">AK4/AK3</f>
        <v>2.4951033803455309</v>
      </c>
      <c r="AL10">
        <f t="shared" si="13"/>
        <v>1.6130112303050621</v>
      </c>
      <c r="AM10">
        <f t="shared" si="13"/>
        <v>1.378996260103752</v>
      </c>
      <c r="AP10">
        <f t="shared" ref="AP10:AR11" si="14">AP4/AP3</f>
        <v>2.7813031293787946</v>
      </c>
      <c r="AQ10">
        <f t="shared" si="14"/>
        <v>1.8903869530441544</v>
      </c>
      <c r="AR10">
        <f t="shared" si="14"/>
        <v>1.4909927035199202</v>
      </c>
      <c r="AU10">
        <f t="shared" ref="AU10:AW11" si="15">AU4/AU3</f>
        <v>2.5566748066748066</v>
      </c>
      <c r="AV10">
        <f t="shared" si="15"/>
        <v>1.490641995002203</v>
      </c>
      <c r="AW10">
        <f t="shared" si="15"/>
        <v>1.3705610215771822</v>
      </c>
      <c r="AZ10">
        <f t="shared" ref="AZ10:BB11" si="16">AZ4/AZ3</f>
        <v>1.4768204038503965</v>
      </c>
      <c r="BA10">
        <f t="shared" si="16"/>
        <v>1.1529843495418466</v>
      </c>
      <c r="BB10">
        <f t="shared" si="16"/>
        <v>1.1068988053873392</v>
      </c>
      <c r="BE10">
        <f t="shared" ref="BE10:BG11" si="17">BE4/BE3</f>
        <v>2.4721398489665356</v>
      </c>
      <c r="BF10">
        <f t="shared" si="17"/>
        <v>1.5058467699762106</v>
      </c>
      <c r="BG10">
        <f t="shared" si="17"/>
        <v>1.3757916661728629</v>
      </c>
      <c r="BJ10">
        <f t="shared" ref="BJ10:BL11" si="18">BJ4/BJ3</f>
        <v>2.5572667464114831</v>
      </c>
      <c r="BK10">
        <f t="shared" si="18"/>
        <v>1.6151642352509403</v>
      </c>
      <c r="BL10">
        <f t="shared" si="18"/>
        <v>1.4597108656340909</v>
      </c>
      <c r="BO10">
        <f t="shared" ref="BO10:BQ11" si="19">BO4/BO3</f>
        <v>2.4404323068854423</v>
      </c>
      <c r="BP10">
        <f t="shared" si="19"/>
        <v>1.5422146386186522</v>
      </c>
      <c r="BQ10">
        <f t="shared" si="19"/>
        <v>1.4767241379310345</v>
      </c>
      <c r="BT10">
        <f t="shared" ref="BT10:BV11" si="20">BT4/BT3</f>
        <v>2.4443191176997168</v>
      </c>
      <c r="BU10">
        <f t="shared" si="20"/>
        <v>1.6435495631932469</v>
      </c>
      <c r="BV10">
        <f t="shared" si="20"/>
        <v>1.4625509271887327</v>
      </c>
      <c r="CI10" t="e">
        <f t="shared" ref="CI10:CO10" si="21">CI4/CI3</f>
        <v>#DIV/0!</v>
      </c>
      <c r="CJ10" t="e">
        <f t="shared" si="21"/>
        <v>#DIV/0!</v>
      </c>
      <c r="CK10" t="e">
        <f t="shared" si="21"/>
        <v>#DIV/0!</v>
      </c>
      <c r="CL10" t="e">
        <f t="shared" si="21"/>
        <v>#DIV/0!</v>
      </c>
      <c r="CM10" t="e">
        <f t="shared" si="21"/>
        <v>#DIV/0!</v>
      </c>
      <c r="CN10" t="e">
        <f t="shared" si="21"/>
        <v>#DIV/0!</v>
      </c>
      <c r="CO10" t="e">
        <f t="shared" si="21"/>
        <v>#DIV/0!</v>
      </c>
    </row>
    <row r="11" spans="1:93" x14ac:dyDescent="0.25">
      <c r="A11" t="s">
        <v>59</v>
      </c>
      <c r="B11">
        <f t="shared" si="6"/>
        <v>1.5484311794907342</v>
      </c>
      <c r="C11">
        <f t="shared" si="6"/>
        <v>1.6155113435300592</v>
      </c>
      <c r="D11">
        <f t="shared" si="6"/>
        <v>1.2745357839803817</v>
      </c>
      <c r="G11">
        <f t="shared" si="7"/>
        <v>1.891938297400396</v>
      </c>
      <c r="H11">
        <f t="shared" si="7"/>
        <v>1.5797902204567511</v>
      </c>
      <c r="I11">
        <f t="shared" si="7"/>
        <v>1.335171275476031</v>
      </c>
      <c r="L11">
        <f t="shared" si="8"/>
        <v>2.0485360527870857</v>
      </c>
      <c r="M11">
        <f t="shared" si="8"/>
        <v>1.6546427483188479</v>
      </c>
      <c r="N11">
        <f t="shared" si="8"/>
        <v>1.3404194013387223</v>
      </c>
      <c r="Q11">
        <f t="shared" si="9"/>
        <v>2.1581403060753841</v>
      </c>
      <c r="R11">
        <f t="shared" si="9"/>
        <v>1.5546217749365241</v>
      </c>
      <c r="S11">
        <f t="shared" si="9"/>
        <v>1.3228957471652367</v>
      </c>
      <c r="V11">
        <f t="shared" si="10"/>
        <v>1.4058946062023832</v>
      </c>
      <c r="W11">
        <f t="shared" si="10"/>
        <v>1.3871593738331929</v>
      </c>
      <c r="X11">
        <f t="shared" si="10"/>
        <v>1.0899721929492965</v>
      </c>
      <c r="AA11">
        <f t="shared" si="11"/>
        <v>1.5114097691392201</v>
      </c>
      <c r="AB11">
        <f t="shared" si="11"/>
        <v>1.3061754282102682</v>
      </c>
      <c r="AC11">
        <f t="shared" si="11"/>
        <v>1.1975182149169934</v>
      </c>
      <c r="AF11">
        <f t="shared" si="12"/>
        <v>1.898590320749022</v>
      </c>
      <c r="AG11">
        <f t="shared" si="12"/>
        <v>1.3867583847261591</v>
      </c>
      <c r="AH11">
        <f t="shared" si="12"/>
        <v>1.2093028770044452</v>
      </c>
      <c r="AK11">
        <f t="shared" si="13"/>
        <v>2.4844425563387285</v>
      </c>
      <c r="AL11">
        <f t="shared" si="13"/>
        <v>1.7581104889948553</v>
      </c>
      <c r="AM11">
        <f t="shared" si="13"/>
        <v>1.4304453770485053</v>
      </c>
      <c r="AP11">
        <f t="shared" si="14"/>
        <v>2.5122914314169691</v>
      </c>
      <c r="AQ11">
        <f t="shared" si="14"/>
        <v>1.924230958553095</v>
      </c>
      <c r="AR11">
        <f t="shared" si="14"/>
        <v>1.4433632419929046</v>
      </c>
      <c r="AU11">
        <f t="shared" si="15"/>
        <v>1.4427814395180176</v>
      </c>
      <c r="AV11">
        <f t="shared" si="15"/>
        <v>1.141953656892575</v>
      </c>
      <c r="AW11">
        <f t="shared" si="15"/>
        <v>1.2028414312454576</v>
      </c>
      <c r="AZ11">
        <f t="shared" si="16"/>
        <v>1.2837573539384481</v>
      </c>
      <c r="BA11">
        <f t="shared" si="16"/>
        <v>1.1876136827707806</v>
      </c>
      <c r="BB11">
        <f t="shared" si="16"/>
        <v>1.1792552177731273</v>
      </c>
      <c r="BE11">
        <f t="shared" si="17"/>
        <v>2.2305103800159976</v>
      </c>
      <c r="BF11">
        <f t="shared" si="17"/>
        <v>1.7689716646349756</v>
      </c>
      <c r="BG11">
        <f t="shared" si="17"/>
        <v>1.437866270455828</v>
      </c>
      <c r="BJ11">
        <f t="shared" si="18"/>
        <v>2.2714188265495054</v>
      </c>
      <c r="BK11">
        <f t="shared" si="18"/>
        <v>1.6066834529343073</v>
      </c>
      <c r="BL11">
        <f t="shared" si="18"/>
        <v>1.4675567315363716</v>
      </c>
      <c r="BO11">
        <f t="shared" si="19"/>
        <v>3.0888373456709579</v>
      </c>
      <c r="BP11">
        <f t="shared" si="19"/>
        <v>2.1963584481295184</v>
      </c>
      <c r="BQ11">
        <f t="shared" si="19"/>
        <v>1.81367596209978</v>
      </c>
      <c r="BT11">
        <f t="shared" si="20"/>
        <v>2.0536365744979554</v>
      </c>
      <c r="BU11">
        <f t="shared" si="20"/>
        <v>1.6466290890987654</v>
      </c>
      <c r="BV11">
        <f t="shared" si="20"/>
        <v>1.3149357165905371</v>
      </c>
    </row>
    <row r="12" spans="1:93" x14ac:dyDescent="0.25">
      <c r="A12" t="s">
        <v>60</v>
      </c>
      <c r="B12">
        <f>B5/B3</f>
        <v>3.0180868609125895</v>
      </c>
      <c r="C12">
        <f>C5/C3</f>
        <v>2.2735525139927568</v>
      </c>
      <c r="D12">
        <f>D5/D3</f>
        <v>1.5781995133819953</v>
      </c>
      <c r="G12" t="e">
        <f>G5/G3</f>
        <v>#DIV/0!</v>
      </c>
      <c r="H12" t="e">
        <f>H5/H3</f>
        <v>#DIV/0!</v>
      </c>
      <c r="I12" t="e">
        <f>I5/I3</f>
        <v>#DIV/0!</v>
      </c>
      <c r="L12">
        <f>L5/L3</f>
        <v>6.7424354768645429</v>
      </c>
      <c r="M12">
        <f>M5/M3</f>
        <v>2.9769010635051711</v>
      </c>
      <c r="N12">
        <f>N5/N3</f>
        <v>2.2309515377454807</v>
      </c>
      <c r="Q12">
        <f>Q5/Q3</f>
        <v>5.1860616424553347</v>
      </c>
      <c r="R12">
        <f>R5/R3</f>
        <v>2.687953655055122</v>
      </c>
      <c r="S12">
        <f>S5/S3</f>
        <v>1.9366467461947285</v>
      </c>
      <c r="V12">
        <f>V5/V3</f>
        <v>2.3425830483062362</v>
      </c>
      <c r="W12">
        <f>W5/W3</f>
        <v>1.5970086047664098</v>
      </c>
      <c r="X12">
        <f>X5/X3</f>
        <v>1.3222558614377244</v>
      </c>
      <c r="AA12">
        <f>AA5/AA3</f>
        <v>4.1925649808583518</v>
      </c>
      <c r="AB12">
        <f>AB5/AB3</f>
        <v>2.0646679260357632</v>
      </c>
      <c r="AC12">
        <f>AC5/AC3</f>
        <v>1.7228617660656496</v>
      </c>
      <c r="AF12">
        <f>AF5/AF3</f>
        <v>4.5963132207606092</v>
      </c>
      <c r="AG12">
        <f>AG5/AG3</f>
        <v>2.1919799252384422</v>
      </c>
      <c r="AH12">
        <f>AH5/AH3</f>
        <v>1.7312347610266807</v>
      </c>
      <c r="AK12">
        <f>AK5/AK3</f>
        <v>6.1989410205950541</v>
      </c>
      <c r="AL12">
        <f>AL5/AL3</f>
        <v>2.8358519628658256</v>
      </c>
      <c r="AM12">
        <f>AM5/AM3</f>
        <v>1.9725788252325902</v>
      </c>
      <c r="AP12">
        <f>AP5/AP3</f>
        <v>6.9874440201115489</v>
      </c>
      <c r="AQ12">
        <f>AQ5/AQ3</f>
        <v>3.6375410986924175</v>
      </c>
      <c r="AR12">
        <f>AR5/AR3</f>
        <v>2.1520440623402775</v>
      </c>
      <c r="AU12">
        <f>AU5/AU3</f>
        <v>3.6887229579537268</v>
      </c>
      <c r="AV12">
        <f>AV5/AV3</f>
        <v>1.7022440773104091</v>
      </c>
      <c r="AW12">
        <f>AW5/AW3</f>
        <v>1.6485675808031341</v>
      </c>
      <c r="AZ12">
        <f>AZ5/AZ3</f>
        <v>1.8958790538892953</v>
      </c>
      <c r="BA12">
        <f>BA5/BA3</f>
        <v>1.3692999895364655</v>
      </c>
      <c r="BB12">
        <f>BB5/BB3</f>
        <v>1.305316191799861</v>
      </c>
      <c r="BE12">
        <f>BE5/BE3</f>
        <v>5.5141335939710379</v>
      </c>
      <c r="BF12">
        <f>BF5/BF3</f>
        <v>2.6638002673700183</v>
      </c>
      <c r="BG12">
        <f>BG5/BG3</f>
        <v>1.9782044319641838</v>
      </c>
      <c r="BJ12">
        <f>BJ5/BJ3</f>
        <v>5.8086238323080428</v>
      </c>
      <c r="BK12">
        <f>BK5/BK3</f>
        <v>2.5950576505489802</v>
      </c>
      <c r="BL12">
        <f>BL5/BL3</f>
        <v>2.1422085069580938</v>
      </c>
      <c r="BO12">
        <f>BO5/BO3</f>
        <v>7.5380984490896834</v>
      </c>
      <c r="BP12">
        <f>BP5/BP3</f>
        <v>3.3872561503590894</v>
      </c>
      <c r="BQ12">
        <f>BQ5/BQ3</f>
        <v>2.6782990716180373</v>
      </c>
      <c r="BT12">
        <f>BT5/BT3</f>
        <v>5.0197431398527117</v>
      </c>
      <c r="BU12">
        <f>BU5/BU3</f>
        <v>2.7063165201295698</v>
      </c>
      <c r="BV12">
        <f>BV5/BV3</f>
        <v>1.9231604514930705</v>
      </c>
    </row>
    <row r="14" spans="1:93" x14ac:dyDescent="0.25">
      <c r="A14" t="s">
        <v>56</v>
      </c>
    </row>
    <row r="15" spans="1:93" x14ac:dyDescent="0.25">
      <c r="A15" t="s">
        <v>53</v>
      </c>
      <c r="B15" s="2">
        <f>AVERAGE(B7,L7,Q7,V7,AA7,AF7,AK7,AP7,AU7,AZ7,BE7,BJ7,BO7,BT7)</f>
        <v>14677.587661531918</v>
      </c>
      <c r="C15" s="2">
        <f>AVERAGE(C7,M7,R7,W7,AB7,AG7,AL7,AQ7,AV7,BA7,BF7,BK7,BP7,BU7)</f>
        <v>12909.843561898442</v>
      </c>
      <c r="D15" s="2">
        <f>AVERAGE(D7,N7,S7,X7,AC7,AH7,AM7,AR7,AW7,BB7,BG7,BL7,BQ7,BV7)</f>
        <v>2880.9170793995427</v>
      </c>
    </row>
    <row r="16" spans="1:93" x14ac:dyDescent="0.25">
      <c r="A16" t="s">
        <v>54</v>
      </c>
      <c r="B16" s="2">
        <f>AVERAGE(B8,L8,Q8,V8,AA8,AF8,AK8,AP8,AU8,AZ8,BE8,BJ8,BO8,BT8)</f>
        <v>26613.423037835546</v>
      </c>
      <c r="C16" s="2">
        <f t="shared" ref="C16:D16" si="22">AVERAGE(C8,M8,R8,W8,AB8,AG8,AL8,AQ8,AV8,BA8,BF8,BK8,BP8,BU8)</f>
        <v>21730.751181964013</v>
      </c>
      <c r="D16" s="2">
        <f t="shared" si="22"/>
        <v>3467.4820746480409</v>
      </c>
    </row>
    <row r="17" spans="1:4" x14ac:dyDescent="0.25">
      <c r="A17" t="s">
        <v>57</v>
      </c>
      <c r="B17" s="2">
        <f>AVERAGE(B9,L9,Q9,V9,AA9,AF9,AK9,AP9,AU9,AZ9,BE9,BJ9,BO9,BT9)</f>
        <v>41291.010699367464</v>
      </c>
      <c r="C17" s="2">
        <f t="shared" ref="C17:D17" si="23">AVERAGE(C9,M9,R9,W9,AB9,AG9,AL9,AQ9,AV9,BA9,BF9,BK9,BP9,BU9)</f>
        <v>34640.59474386245</v>
      </c>
      <c r="D17" s="2">
        <f t="shared" si="23"/>
        <v>6348.3991540475836</v>
      </c>
    </row>
    <row r="18" spans="1:4" x14ac:dyDescent="0.25">
      <c r="A18" t="s">
        <v>58</v>
      </c>
      <c r="B18" s="39">
        <f>AVERAGE(B10,L10,Q10,V10,AA10,AF10,AK10,AP10,AU10,AZ10,BE10,BJ10,BO10,BT10)</f>
        <v>2.409190119796107</v>
      </c>
      <c r="C18" s="39">
        <f t="shared" ref="C18:D18" si="24">AVERAGE(C10,M10,R10,W10,AB10,AG10,AL10,AQ10,AV10,BA10,BF10,BK10,BP10,BU10)</f>
        <v>1.5501344376883863</v>
      </c>
      <c r="D18" s="39">
        <f t="shared" si="24"/>
        <v>1.3980139120223583</v>
      </c>
    </row>
    <row r="19" spans="1:4" x14ac:dyDescent="0.25">
      <c r="A19" t="s">
        <v>59</v>
      </c>
      <c r="B19" s="39">
        <f>AVERAGE(B11,L11,Q11,V11,AA11,AF11,AK11,AP11,AU11,AZ11,BE11,BJ11,BO11,BT11)</f>
        <v>1.9956198673136005</v>
      </c>
      <c r="C19" s="39">
        <f t="shared" ref="C19:D19" si="25">AVERAGE(C11,M11,R11,W11,AB11,AG11,AL11,AQ11,AV11,BA11,BF11,BK11,BP11,BU11)</f>
        <v>1.5811014639688517</v>
      </c>
      <c r="D19" s="39">
        <f t="shared" si="25"/>
        <v>1.3374702975783992</v>
      </c>
    </row>
    <row r="20" spans="1:4" x14ac:dyDescent="0.25">
      <c r="A20" t="s">
        <v>60</v>
      </c>
      <c r="B20" s="39">
        <f>AVERAGE(B12,L12,Q12,V12,AA12,AF12,AK12,AP12,AU12,AZ12,BE12,BJ12,BO12,BT12)</f>
        <v>4.9092593784234833</v>
      </c>
      <c r="C20" s="39">
        <f t="shared" ref="C20:D20" si="26">AVERAGE(C12,M12,R12,W12,AB12,AG12,AL12,AQ12,AV12,BA12,BF12,BK12,BP12,BU12)</f>
        <v>2.4778165289576028</v>
      </c>
      <c r="D20" s="39">
        <f t="shared" si="26"/>
        <v>1.8801806648615365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169BC-2BBF-3B40-8DEF-050C48580E16}">
  <dimension ref="B1:BD46"/>
  <sheetViews>
    <sheetView zoomScale="82" workbookViewId="0">
      <selection activeCell="B21" sqref="B21"/>
    </sheetView>
  </sheetViews>
  <sheetFormatPr defaultColWidth="11" defaultRowHeight="15.75" x14ac:dyDescent="0.25"/>
  <sheetData>
    <row r="1" spans="2:56" x14ac:dyDescent="0.25">
      <c r="B1" t="s">
        <v>61</v>
      </c>
      <c r="T1" t="s">
        <v>62</v>
      </c>
      <c r="AM1" t="s">
        <v>63</v>
      </c>
    </row>
    <row r="2" spans="2:56" ht="16.5" thickBot="1" x14ac:dyDescent="0.3"/>
    <row r="3" spans="2:56" ht="21" x14ac:dyDescent="0.35">
      <c r="B3" s="8" t="s">
        <v>5</v>
      </c>
      <c r="C3" s="9"/>
      <c r="D3" s="9"/>
      <c r="E3" s="10"/>
      <c r="G3" s="8" t="s">
        <v>6</v>
      </c>
      <c r="H3" s="9"/>
      <c r="I3" s="9"/>
      <c r="J3" s="10"/>
      <c r="L3" s="8" t="s">
        <v>9</v>
      </c>
      <c r="M3" s="9"/>
      <c r="N3" s="9"/>
      <c r="O3" s="10"/>
      <c r="T3" s="8" t="s">
        <v>5</v>
      </c>
      <c r="U3" s="9"/>
      <c r="V3" s="9"/>
      <c r="W3" s="10"/>
      <c r="Y3" s="8" t="s">
        <v>6</v>
      </c>
      <c r="Z3" s="9"/>
      <c r="AA3" s="9"/>
      <c r="AB3" s="10"/>
      <c r="AD3" s="8" t="s">
        <v>9</v>
      </c>
      <c r="AE3" s="9"/>
      <c r="AF3" s="9"/>
      <c r="AG3" s="10"/>
      <c r="AI3" s="91" t="s">
        <v>64</v>
      </c>
      <c r="AJ3" s="91" t="s">
        <v>65</v>
      </c>
      <c r="AK3" s="91" t="s">
        <v>66</v>
      </c>
      <c r="AM3" s="27" t="s">
        <v>5</v>
      </c>
      <c r="AN3" s="28"/>
      <c r="AO3" s="28"/>
      <c r="AP3" s="29"/>
      <c r="AR3" s="27" t="s">
        <v>6</v>
      </c>
      <c r="AS3" s="28"/>
      <c r="AT3" s="28"/>
      <c r="AU3" s="29"/>
      <c r="AW3" s="27" t="s">
        <v>9</v>
      </c>
      <c r="AX3" s="28"/>
      <c r="AY3" s="28"/>
      <c r="AZ3" s="29"/>
      <c r="BB3" s="91" t="s">
        <v>64</v>
      </c>
      <c r="BC3" s="91" t="s">
        <v>65</v>
      </c>
      <c r="BD3" s="91" t="s">
        <v>67</v>
      </c>
    </row>
    <row r="4" spans="2:56" x14ac:dyDescent="0.25">
      <c r="B4" s="1" t="s">
        <v>1</v>
      </c>
      <c r="C4" s="1" t="s">
        <v>2</v>
      </c>
      <c r="D4" s="1" t="s">
        <v>3</v>
      </c>
      <c r="E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L4" s="1" t="s">
        <v>1</v>
      </c>
      <c r="M4" s="1" t="s">
        <v>2</v>
      </c>
      <c r="N4" s="1" t="s">
        <v>3</v>
      </c>
      <c r="O4" s="1" t="s">
        <v>4</v>
      </c>
      <c r="T4" s="1" t="s">
        <v>1</v>
      </c>
      <c r="U4" s="1" t="s">
        <v>2</v>
      </c>
      <c r="V4" s="1" t="s">
        <v>3</v>
      </c>
      <c r="W4" s="1" t="s">
        <v>4</v>
      </c>
      <c r="Y4" s="1" t="s">
        <v>1</v>
      </c>
      <c r="Z4" s="1" t="s">
        <v>2</v>
      </c>
      <c r="AA4" s="1" t="s">
        <v>3</v>
      </c>
      <c r="AB4" s="1" t="s">
        <v>4</v>
      </c>
      <c r="AD4" s="1" t="s">
        <v>1</v>
      </c>
      <c r="AE4" s="1" t="s">
        <v>2</v>
      </c>
      <c r="AF4" s="1" t="s">
        <v>3</v>
      </c>
      <c r="AG4" s="1" t="s">
        <v>4</v>
      </c>
      <c r="AI4" s="91" t="s">
        <v>5</v>
      </c>
      <c r="AJ4" s="91" t="s">
        <v>6</v>
      </c>
      <c r="AK4" s="91" t="s">
        <v>9</v>
      </c>
      <c r="AL4" s="2"/>
      <c r="AM4" s="15" t="s">
        <v>1</v>
      </c>
      <c r="AN4" s="1" t="s">
        <v>2</v>
      </c>
      <c r="AO4" s="1" t="s">
        <v>3</v>
      </c>
      <c r="AP4" s="16" t="s">
        <v>4</v>
      </c>
      <c r="AR4" s="15" t="s">
        <v>1</v>
      </c>
      <c r="AS4" s="1" t="s">
        <v>2</v>
      </c>
      <c r="AT4" s="1" t="s">
        <v>3</v>
      </c>
      <c r="AU4" s="16" t="s">
        <v>4</v>
      </c>
      <c r="AW4" s="15" t="s">
        <v>1</v>
      </c>
      <c r="AX4" s="1" t="s">
        <v>2</v>
      </c>
      <c r="AY4" s="1" t="s">
        <v>3</v>
      </c>
      <c r="AZ4" s="16" t="s">
        <v>4</v>
      </c>
      <c r="BB4" s="91" t="s">
        <v>5</v>
      </c>
      <c r="BC4" s="91" t="s">
        <v>6</v>
      </c>
      <c r="BD4" s="91" t="s">
        <v>9</v>
      </c>
    </row>
    <row r="5" spans="2:56" x14ac:dyDescent="0.25">
      <c r="B5" s="4">
        <v>1</v>
      </c>
      <c r="C5" s="51">
        <v>7303</v>
      </c>
      <c r="D5" s="51">
        <v>14633</v>
      </c>
      <c r="E5" s="51">
        <v>4408</v>
      </c>
      <c r="G5" s="4">
        <v>1</v>
      </c>
      <c r="H5" s="2">
        <v>6170</v>
      </c>
      <c r="I5" s="2">
        <v>12897</v>
      </c>
      <c r="J5" s="2">
        <v>4809</v>
      </c>
      <c r="L5" s="4">
        <v>1</v>
      </c>
      <c r="M5" s="2">
        <v>7108</v>
      </c>
      <c r="N5" s="2">
        <v>16639</v>
      </c>
      <c r="O5" s="2">
        <v>4182</v>
      </c>
      <c r="T5" s="4">
        <v>1</v>
      </c>
      <c r="U5" s="2">
        <v>18637</v>
      </c>
      <c r="V5" s="2">
        <v>22574</v>
      </c>
      <c r="W5" s="2">
        <v>5679</v>
      </c>
      <c r="Y5" s="4">
        <v>1</v>
      </c>
      <c r="Z5" s="2">
        <v>17617</v>
      </c>
      <c r="AA5" s="2">
        <v>24113</v>
      </c>
      <c r="AB5" s="2">
        <v>7550</v>
      </c>
      <c r="AD5" s="4">
        <v>1</v>
      </c>
      <c r="AE5" s="2">
        <v>21116</v>
      </c>
      <c r="AF5" s="2">
        <v>26451</v>
      </c>
      <c r="AG5" s="2">
        <v>6860</v>
      </c>
      <c r="AI5" s="2">
        <f>U5-C5</f>
        <v>11334</v>
      </c>
      <c r="AJ5" s="2">
        <f>Z5-H5</f>
        <v>11447</v>
      </c>
      <c r="AK5" s="2">
        <f t="shared" ref="AK5:AK45" si="0">AE5-M5</f>
        <v>14008</v>
      </c>
      <c r="AM5" s="4">
        <v>1</v>
      </c>
      <c r="AN5" s="2">
        <v>60537</v>
      </c>
      <c r="AO5" s="2">
        <v>53065</v>
      </c>
      <c r="AP5" s="17">
        <v>10285</v>
      </c>
      <c r="AR5" s="4">
        <v>1</v>
      </c>
      <c r="AS5" s="2">
        <v>23710</v>
      </c>
      <c r="AT5" s="2">
        <v>30579</v>
      </c>
      <c r="AU5" s="17">
        <v>8869</v>
      </c>
      <c r="AW5" s="4">
        <v>1</v>
      </c>
      <c r="AX5" s="2">
        <v>31817</v>
      </c>
      <c r="AY5" s="2">
        <v>45118</v>
      </c>
      <c r="AZ5" s="17">
        <v>8750</v>
      </c>
      <c r="BB5" s="2">
        <f>AN5-U5</f>
        <v>41900</v>
      </c>
      <c r="BC5" s="2">
        <f>AS5-Z5</f>
        <v>6093</v>
      </c>
      <c r="BD5" s="2">
        <f>AX5-AE5</f>
        <v>10701</v>
      </c>
    </row>
    <row r="6" spans="2:56" x14ac:dyDescent="0.25">
      <c r="B6" s="4">
        <v>1</v>
      </c>
      <c r="C6" s="52"/>
      <c r="D6" s="52"/>
      <c r="E6" s="52"/>
      <c r="G6" s="4">
        <v>1</v>
      </c>
      <c r="H6" s="2">
        <v>2909</v>
      </c>
      <c r="I6" s="2">
        <v>8910</v>
      </c>
      <c r="J6" s="2">
        <v>2429</v>
      </c>
      <c r="L6" s="4">
        <v>1</v>
      </c>
      <c r="M6" s="2">
        <v>3952</v>
      </c>
      <c r="N6" s="2">
        <v>10894</v>
      </c>
      <c r="O6" s="2">
        <v>3833</v>
      </c>
      <c r="T6" s="4">
        <v>1</v>
      </c>
      <c r="U6" s="2">
        <v>14418</v>
      </c>
      <c r="V6" s="2">
        <v>19145</v>
      </c>
      <c r="W6" s="2">
        <v>5213</v>
      </c>
      <c r="Y6" s="4">
        <v>1</v>
      </c>
      <c r="Z6" s="2">
        <v>14198</v>
      </c>
      <c r="AA6" s="2">
        <v>20974</v>
      </c>
      <c r="AB6" s="2">
        <v>4782</v>
      </c>
      <c r="AD6" s="4">
        <v>1</v>
      </c>
      <c r="AE6" s="2">
        <v>16168</v>
      </c>
      <c r="AF6" s="2">
        <v>22742</v>
      </c>
      <c r="AG6" s="2">
        <v>5610</v>
      </c>
      <c r="AI6" s="2">
        <f t="shared" ref="AI6:AI45" si="1">U6-C6</f>
        <v>14418</v>
      </c>
      <c r="AJ6" s="2">
        <f t="shared" ref="AJ6:AJ45" si="2">Z6-H6</f>
        <v>11289</v>
      </c>
      <c r="AK6" s="2">
        <f t="shared" si="0"/>
        <v>12216</v>
      </c>
      <c r="AM6" s="4">
        <v>1</v>
      </c>
      <c r="AN6" s="2">
        <v>52421</v>
      </c>
      <c r="AO6" s="2">
        <v>50885</v>
      </c>
      <c r="AP6" s="17">
        <v>9905</v>
      </c>
      <c r="AR6" s="4">
        <v>1</v>
      </c>
      <c r="AS6" s="53"/>
      <c r="AT6" s="53"/>
      <c r="AU6" s="54"/>
      <c r="AW6" s="4">
        <v>1</v>
      </c>
      <c r="AX6" s="2">
        <v>25814</v>
      </c>
      <c r="AY6" s="2">
        <v>39174</v>
      </c>
      <c r="AZ6" s="17">
        <v>6719</v>
      </c>
      <c r="BB6" s="2">
        <f t="shared" ref="BB6:BB44" si="3">AN6-U6</f>
        <v>38003</v>
      </c>
      <c r="BC6" s="2">
        <f t="shared" ref="BC6:BC44" si="4">AS6-Z6</f>
        <v>-14198</v>
      </c>
      <c r="BD6" s="2">
        <f t="shared" ref="BD6:BD44" si="5">AX6-AE6</f>
        <v>9646</v>
      </c>
    </row>
    <row r="7" spans="2:56" x14ac:dyDescent="0.25">
      <c r="B7" s="4">
        <v>2</v>
      </c>
      <c r="C7" s="51">
        <v>6978</v>
      </c>
      <c r="D7" s="51">
        <v>13395</v>
      </c>
      <c r="E7" s="51">
        <v>3804</v>
      </c>
      <c r="G7" s="4">
        <v>2</v>
      </c>
      <c r="H7" s="2">
        <v>9605</v>
      </c>
      <c r="I7" s="2">
        <v>16803</v>
      </c>
      <c r="J7" s="2">
        <v>4131</v>
      </c>
      <c r="L7" s="4">
        <v>2</v>
      </c>
      <c r="M7" s="2">
        <v>5795</v>
      </c>
      <c r="N7" s="2">
        <v>16525</v>
      </c>
      <c r="O7" s="2">
        <v>4019</v>
      </c>
      <c r="T7" s="4">
        <v>2</v>
      </c>
      <c r="U7" s="2">
        <v>11122</v>
      </c>
      <c r="V7" s="2">
        <v>20535</v>
      </c>
      <c r="W7" s="2">
        <v>5503</v>
      </c>
      <c r="Y7" s="4">
        <v>2</v>
      </c>
      <c r="Z7" s="2">
        <v>26761</v>
      </c>
      <c r="AA7" s="2">
        <v>29939</v>
      </c>
      <c r="AB7" s="2">
        <v>6883</v>
      </c>
      <c r="AD7" s="4">
        <v>2</v>
      </c>
      <c r="AE7" s="2">
        <v>16839</v>
      </c>
      <c r="AF7" s="2">
        <v>24180</v>
      </c>
      <c r="AG7" s="2">
        <v>6842</v>
      </c>
      <c r="AI7" s="2">
        <f t="shared" si="1"/>
        <v>4144</v>
      </c>
      <c r="AJ7" s="2">
        <f t="shared" si="2"/>
        <v>17156</v>
      </c>
      <c r="AK7" s="2">
        <f t="shared" si="0"/>
        <v>11044</v>
      </c>
      <c r="AM7" s="4">
        <v>2</v>
      </c>
      <c r="AN7" s="2">
        <v>26160</v>
      </c>
      <c r="AO7" s="2">
        <v>36248</v>
      </c>
      <c r="AP7" s="17">
        <v>7727</v>
      </c>
      <c r="AR7" s="4">
        <v>2</v>
      </c>
      <c r="AS7" s="2">
        <v>41898</v>
      </c>
      <c r="AT7" s="2">
        <v>48110</v>
      </c>
      <c r="AU7" s="17">
        <v>9414</v>
      </c>
      <c r="AW7" s="4">
        <v>2</v>
      </c>
      <c r="AX7" s="2">
        <v>26950</v>
      </c>
      <c r="AY7" s="2">
        <v>37918</v>
      </c>
      <c r="AZ7" s="17">
        <v>8027</v>
      </c>
      <c r="BB7" s="2">
        <f t="shared" si="3"/>
        <v>15038</v>
      </c>
      <c r="BC7" s="2">
        <f t="shared" si="4"/>
        <v>15137</v>
      </c>
      <c r="BD7" s="2">
        <f t="shared" si="5"/>
        <v>10111</v>
      </c>
    </row>
    <row r="8" spans="2:56" x14ac:dyDescent="0.25">
      <c r="B8" s="4">
        <v>2</v>
      </c>
      <c r="C8" s="52"/>
      <c r="D8" s="52"/>
      <c r="E8" s="52"/>
      <c r="G8" s="4">
        <v>2</v>
      </c>
      <c r="H8" s="2">
        <v>6717</v>
      </c>
      <c r="I8" s="2">
        <v>14427</v>
      </c>
      <c r="J8" s="2">
        <v>3626</v>
      </c>
      <c r="L8" s="4">
        <v>2</v>
      </c>
      <c r="M8" s="2">
        <v>3191</v>
      </c>
      <c r="N8" s="2">
        <v>9397</v>
      </c>
      <c r="O8" s="2">
        <v>2660</v>
      </c>
      <c r="T8" s="4">
        <v>2</v>
      </c>
      <c r="U8" s="2">
        <v>9929</v>
      </c>
      <c r="V8" s="2">
        <v>18439</v>
      </c>
      <c r="W8" s="2">
        <v>4187</v>
      </c>
      <c r="Y8" s="4">
        <v>2</v>
      </c>
      <c r="Z8" s="2">
        <v>24442</v>
      </c>
      <c r="AA8" s="2">
        <v>30550</v>
      </c>
      <c r="AB8" s="2">
        <v>5810</v>
      </c>
      <c r="AD8" s="4">
        <v>2</v>
      </c>
      <c r="AE8" s="2">
        <v>10806</v>
      </c>
      <c r="AF8" s="2">
        <v>18469</v>
      </c>
      <c r="AG8" s="2">
        <v>5293</v>
      </c>
      <c r="AI8" s="2">
        <f t="shared" si="1"/>
        <v>9929</v>
      </c>
      <c r="AJ8" s="2">
        <f t="shared" si="2"/>
        <v>17725</v>
      </c>
      <c r="AK8" s="2">
        <f t="shared" si="0"/>
        <v>7615</v>
      </c>
      <c r="AM8" s="4">
        <v>2</v>
      </c>
      <c r="AN8" s="2">
        <v>22192</v>
      </c>
      <c r="AO8" s="2">
        <v>31160</v>
      </c>
      <c r="AP8" s="17">
        <v>6057</v>
      </c>
      <c r="AR8" s="4">
        <v>2</v>
      </c>
      <c r="AS8" s="2">
        <v>34187</v>
      </c>
      <c r="AT8" s="2">
        <v>30540</v>
      </c>
      <c r="AU8" s="17">
        <v>8741</v>
      </c>
      <c r="AW8" s="4">
        <v>2</v>
      </c>
      <c r="AX8" s="2">
        <v>19846</v>
      </c>
      <c r="AY8" s="2">
        <v>26637</v>
      </c>
      <c r="AZ8" s="17">
        <v>6429</v>
      </c>
      <c r="BB8" s="2">
        <f>AN8-U8</f>
        <v>12263</v>
      </c>
      <c r="BC8" s="2">
        <f t="shared" si="4"/>
        <v>9745</v>
      </c>
      <c r="BD8" s="2">
        <f t="shared" si="5"/>
        <v>9040</v>
      </c>
    </row>
    <row r="9" spans="2:56" x14ac:dyDescent="0.25">
      <c r="B9" s="4">
        <v>3</v>
      </c>
      <c r="C9" s="51">
        <v>4641</v>
      </c>
      <c r="D9" s="51">
        <v>10669</v>
      </c>
      <c r="E9" s="51">
        <v>4132</v>
      </c>
      <c r="G9" s="4">
        <v>3</v>
      </c>
      <c r="H9" s="2">
        <v>6296</v>
      </c>
      <c r="I9" s="2">
        <v>12129</v>
      </c>
      <c r="J9" s="2">
        <v>4352</v>
      </c>
      <c r="L9" s="4">
        <v>3</v>
      </c>
      <c r="M9" s="2">
        <v>4787</v>
      </c>
      <c r="N9" s="2">
        <v>14821</v>
      </c>
      <c r="O9" s="2">
        <v>3140</v>
      </c>
      <c r="T9" s="4">
        <v>3</v>
      </c>
      <c r="U9" s="2">
        <v>9199</v>
      </c>
      <c r="V9" s="2">
        <v>16796</v>
      </c>
      <c r="W9" s="2">
        <v>5517</v>
      </c>
      <c r="Y9" s="4">
        <v>3</v>
      </c>
      <c r="Z9" s="2">
        <v>17417</v>
      </c>
      <c r="AA9" s="2">
        <v>25806</v>
      </c>
      <c r="AB9" s="2">
        <v>6909</v>
      </c>
      <c r="AD9" s="4">
        <v>3</v>
      </c>
      <c r="AE9" s="2">
        <v>11982</v>
      </c>
      <c r="AF9" s="2">
        <v>20134</v>
      </c>
      <c r="AG9" s="2">
        <v>4724</v>
      </c>
      <c r="AI9" s="2">
        <f t="shared" si="1"/>
        <v>4558</v>
      </c>
      <c r="AJ9" s="2">
        <f t="shared" si="2"/>
        <v>11121</v>
      </c>
      <c r="AK9" s="2">
        <f t="shared" si="0"/>
        <v>7195</v>
      </c>
      <c r="AM9" s="4">
        <v>3</v>
      </c>
      <c r="AN9" s="2">
        <v>15567</v>
      </c>
      <c r="AO9" s="2">
        <v>22327</v>
      </c>
      <c r="AP9" s="17">
        <v>6619</v>
      </c>
      <c r="AR9" s="4">
        <v>3</v>
      </c>
      <c r="AS9" s="2">
        <v>41375</v>
      </c>
      <c r="AT9" s="2">
        <v>44546</v>
      </c>
      <c r="AU9" s="17">
        <v>9644</v>
      </c>
      <c r="AW9" s="4">
        <v>3</v>
      </c>
      <c r="AX9" s="2">
        <v>20579</v>
      </c>
      <c r="AY9" s="2">
        <v>26512</v>
      </c>
      <c r="AZ9" s="17">
        <v>6419</v>
      </c>
      <c r="BB9" s="2">
        <f t="shared" si="3"/>
        <v>6368</v>
      </c>
      <c r="BC9" s="2">
        <f t="shared" si="4"/>
        <v>23958</v>
      </c>
      <c r="BD9" s="2">
        <f t="shared" si="5"/>
        <v>8597</v>
      </c>
    </row>
    <row r="10" spans="2:56" x14ac:dyDescent="0.25">
      <c r="B10" s="4">
        <v>3</v>
      </c>
      <c r="C10" s="52"/>
      <c r="D10" s="52"/>
      <c r="E10" s="52"/>
      <c r="G10" s="4">
        <v>3</v>
      </c>
      <c r="H10" s="2">
        <v>3334</v>
      </c>
      <c r="I10" s="2">
        <v>7841</v>
      </c>
      <c r="J10" s="2">
        <v>2159</v>
      </c>
      <c r="L10" s="4">
        <v>3</v>
      </c>
      <c r="M10" s="2">
        <v>3619</v>
      </c>
      <c r="N10" s="2">
        <v>10804</v>
      </c>
      <c r="O10" s="2">
        <v>3211</v>
      </c>
      <c r="T10" s="4">
        <v>3</v>
      </c>
      <c r="U10" s="2">
        <v>4794</v>
      </c>
      <c r="V10" s="2">
        <v>9788</v>
      </c>
      <c r="W10" s="2">
        <v>2936</v>
      </c>
      <c r="Y10" s="4">
        <v>3</v>
      </c>
      <c r="Z10" s="2">
        <v>13554</v>
      </c>
      <c r="AA10" s="2">
        <v>18057</v>
      </c>
      <c r="AB10" s="2">
        <v>4581</v>
      </c>
      <c r="AD10" s="4">
        <v>3</v>
      </c>
      <c r="AE10" s="2">
        <v>14214</v>
      </c>
      <c r="AF10" s="2">
        <v>22446</v>
      </c>
      <c r="AG10" s="2">
        <v>4451</v>
      </c>
      <c r="AI10" s="2">
        <f t="shared" si="1"/>
        <v>4794</v>
      </c>
      <c r="AJ10" s="2">
        <f t="shared" si="2"/>
        <v>10220</v>
      </c>
      <c r="AK10" s="2">
        <f t="shared" si="0"/>
        <v>10595</v>
      </c>
      <c r="AM10" s="4">
        <v>3</v>
      </c>
      <c r="AN10" s="2">
        <v>9795</v>
      </c>
      <c r="AO10" s="2">
        <v>15188</v>
      </c>
      <c r="AP10" s="17">
        <v>3807</v>
      </c>
      <c r="AR10" s="4">
        <v>3</v>
      </c>
      <c r="AS10" s="2">
        <v>35750</v>
      </c>
      <c r="AT10" s="2">
        <v>28197</v>
      </c>
      <c r="AU10" s="17">
        <v>7116</v>
      </c>
      <c r="AW10" s="4">
        <v>3</v>
      </c>
      <c r="AX10" s="2">
        <v>26018</v>
      </c>
      <c r="AY10" s="2">
        <v>29504</v>
      </c>
      <c r="AZ10" s="17">
        <v>7014</v>
      </c>
      <c r="BB10" s="2">
        <f t="shared" si="3"/>
        <v>5001</v>
      </c>
      <c r="BC10" s="2">
        <f t="shared" si="4"/>
        <v>22196</v>
      </c>
      <c r="BD10" s="2">
        <f t="shared" si="5"/>
        <v>11804</v>
      </c>
    </row>
    <row r="11" spans="2:56" x14ac:dyDescent="0.25">
      <c r="B11" s="4">
        <v>4</v>
      </c>
      <c r="C11" s="51">
        <v>5144</v>
      </c>
      <c r="D11" s="51">
        <v>12319</v>
      </c>
      <c r="E11" s="51">
        <v>3991</v>
      </c>
      <c r="G11" s="4">
        <v>4</v>
      </c>
      <c r="H11" s="2">
        <v>6194</v>
      </c>
      <c r="I11" s="2">
        <v>13142</v>
      </c>
      <c r="J11" s="2">
        <v>3612</v>
      </c>
      <c r="L11" s="4">
        <v>4</v>
      </c>
      <c r="M11" s="2">
        <v>5176</v>
      </c>
      <c r="N11" s="2">
        <v>13361</v>
      </c>
      <c r="O11" s="2">
        <v>3790</v>
      </c>
      <c r="T11" s="4">
        <v>4</v>
      </c>
      <c r="U11" s="2">
        <v>13608</v>
      </c>
      <c r="V11" s="2">
        <v>26644</v>
      </c>
      <c r="W11" s="2">
        <v>5908</v>
      </c>
      <c r="Y11" s="4">
        <v>4</v>
      </c>
      <c r="Z11" s="2">
        <v>14031</v>
      </c>
      <c r="AA11" s="2">
        <v>21418</v>
      </c>
      <c r="AB11" s="2">
        <v>6106</v>
      </c>
      <c r="AD11" s="4">
        <v>4</v>
      </c>
      <c r="AE11" s="2">
        <v>19512</v>
      </c>
      <c r="AF11" s="2">
        <v>25876</v>
      </c>
      <c r="AG11" s="2">
        <v>5865</v>
      </c>
      <c r="AI11" s="2">
        <f t="shared" si="1"/>
        <v>8464</v>
      </c>
      <c r="AJ11" s="2">
        <f t="shared" si="2"/>
        <v>7837</v>
      </c>
      <c r="AK11" s="2">
        <f t="shared" si="0"/>
        <v>14336</v>
      </c>
      <c r="AM11" s="4">
        <v>4</v>
      </c>
      <c r="AN11" s="2">
        <v>30036</v>
      </c>
      <c r="AO11" s="2">
        <v>42432</v>
      </c>
      <c r="AP11" s="17">
        <v>8087</v>
      </c>
      <c r="AR11" s="4">
        <v>4</v>
      </c>
      <c r="AS11" s="2">
        <v>34550</v>
      </c>
      <c r="AT11" s="2">
        <v>46221</v>
      </c>
      <c r="AU11" s="17">
        <v>8472</v>
      </c>
      <c r="AW11" s="4">
        <v>4</v>
      </c>
      <c r="AX11" s="2">
        <v>25766</v>
      </c>
      <c r="AY11" s="2">
        <v>28530</v>
      </c>
      <c r="AZ11" s="17">
        <v>7477</v>
      </c>
      <c r="BB11" s="2">
        <f t="shared" si="3"/>
        <v>16428</v>
      </c>
      <c r="BC11" s="2">
        <f t="shared" si="4"/>
        <v>20519</v>
      </c>
      <c r="BD11" s="2">
        <f t="shared" si="5"/>
        <v>6254</v>
      </c>
    </row>
    <row r="12" spans="2:56" x14ac:dyDescent="0.25">
      <c r="B12" s="4">
        <v>4</v>
      </c>
      <c r="C12" s="52"/>
      <c r="D12" s="52"/>
      <c r="E12" s="52"/>
      <c r="G12" s="4">
        <v>4</v>
      </c>
      <c r="H12" s="2">
        <v>4055</v>
      </c>
      <c r="I12" s="2">
        <v>11373</v>
      </c>
      <c r="J12" s="2">
        <v>3333</v>
      </c>
      <c r="L12" s="4">
        <v>4</v>
      </c>
      <c r="M12" s="2">
        <v>3843</v>
      </c>
      <c r="N12" s="2">
        <v>10760</v>
      </c>
      <c r="O12" s="2">
        <v>2957</v>
      </c>
      <c r="T12" s="4">
        <v>4</v>
      </c>
      <c r="U12" s="2">
        <v>10355</v>
      </c>
      <c r="V12" s="2">
        <v>17179</v>
      </c>
      <c r="W12" s="2">
        <v>3921</v>
      </c>
      <c r="Y12" s="4">
        <v>4</v>
      </c>
      <c r="Z12" s="2">
        <v>13178</v>
      </c>
      <c r="AA12" s="2">
        <v>15267</v>
      </c>
      <c r="AB12" s="2">
        <v>5007</v>
      </c>
      <c r="AD12" s="4">
        <v>4</v>
      </c>
      <c r="AE12" s="2">
        <v>15601</v>
      </c>
      <c r="AF12" s="2">
        <v>25252</v>
      </c>
      <c r="AG12" s="2">
        <v>6420</v>
      </c>
      <c r="AI12" s="2">
        <f t="shared" si="1"/>
        <v>10355</v>
      </c>
      <c r="AJ12" s="2">
        <f t="shared" si="2"/>
        <v>9123</v>
      </c>
      <c r="AK12" s="2">
        <f t="shared" si="0"/>
        <v>11758</v>
      </c>
      <c r="AM12" s="4">
        <v>4</v>
      </c>
      <c r="AN12" s="2">
        <v>26456</v>
      </c>
      <c r="AO12" s="2">
        <v>34880</v>
      </c>
      <c r="AP12" s="17">
        <v>6965</v>
      </c>
      <c r="AR12" s="4">
        <v>4</v>
      </c>
      <c r="AS12" s="2">
        <v>30153</v>
      </c>
      <c r="AT12" s="2">
        <v>32210</v>
      </c>
      <c r="AU12" s="17">
        <v>7378</v>
      </c>
      <c r="AW12" s="4">
        <v>4</v>
      </c>
      <c r="AX12" s="2">
        <v>20954</v>
      </c>
      <c r="AY12" s="2">
        <v>25851</v>
      </c>
      <c r="AZ12" s="17">
        <v>5797</v>
      </c>
      <c r="BB12" s="2">
        <f t="shared" si="3"/>
        <v>16101</v>
      </c>
      <c r="BC12" s="2">
        <f t="shared" si="4"/>
        <v>16975</v>
      </c>
      <c r="BD12" s="2">
        <f t="shared" si="5"/>
        <v>5353</v>
      </c>
    </row>
    <row r="13" spans="2:56" x14ac:dyDescent="0.25">
      <c r="B13" s="4">
        <v>5</v>
      </c>
      <c r="C13" s="51">
        <v>5600</v>
      </c>
      <c r="D13" s="51">
        <v>11770</v>
      </c>
      <c r="E13" s="51">
        <v>4112</v>
      </c>
      <c r="G13" s="4">
        <v>5</v>
      </c>
      <c r="H13" s="2">
        <v>8303</v>
      </c>
      <c r="I13" s="2">
        <v>15120</v>
      </c>
      <c r="J13" s="2">
        <v>4772</v>
      </c>
      <c r="L13" s="4">
        <v>5</v>
      </c>
      <c r="M13" s="2">
        <v>3580</v>
      </c>
      <c r="N13" s="2">
        <v>16327</v>
      </c>
      <c r="O13" s="2">
        <v>3691</v>
      </c>
      <c r="T13" s="4">
        <v>5</v>
      </c>
      <c r="U13" s="2">
        <v>14072</v>
      </c>
      <c r="V13" s="2">
        <v>22784</v>
      </c>
      <c r="W13" s="2">
        <v>5692</v>
      </c>
      <c r="Y13" s="4">
        <v>5</v>
      </c>
      <c r="Z13" s="2">
        <v>24820</v>
      </c>
      <c r="AA13" s="2">
        <v>29545</v>
      </c>
      <c r="AB13" s="2">
        <v>7844</v>
      </c>
      <c r="AD13" s="4">
        <v>5</v>
      </c>
      <c r="AE13" s="2">
        <v>11730</v>
      </c>
      <c r="AF13" s="2">
        <v>23263</v>
      </c>
      <c r="AG13" s="2">
        <v>5276</v>
      </c>
      <c r="AI13" s="2">
        <f t="shared" si="1"/>
        <v>8472</v>
      </c>
      <c r="AJ13" s="2">
        <f t="shared" si="2"/>
        <v>16517</v>
      </c>
      <c r="AK13" s="2">
        <f t="shared" si="0"/>
        <v>8150</v>
      </c>
      <c r="AM13" s="4">
        <v>5</v>
      </c>
      <c r="AN13" s="2">
        <v>20007</v>
      </c>
      <c r="AO13" s="2">
        <v>31668</v>
      </c>
      <c r="AP13" s="17">
        <v>6758</v>
      </c>
      <c r="AR13" s="4">
        <v>5</v>
      </c>
      <c r="AS13" s="2">
        <v>50259</v>
      </c>
      <c r="AT13" s="2">
        <v>54664</v>
      </c>
      <c r="AU13" s="17">
        <v>8575</v>
      </c>
      <c r="AW13" s="4">
        <v>5</v>
      </c>
      <c r="AX13" s="2">
        <v>22357</v>
      </c>
      <c r="AY13" s="2">
        <v>31742</v>
      </c>
      <c r="AZ13" s="17">
        <v>6612</v>
      </c>
      <c r="BB13" s="2">
        <f t="shared" si="3"/>
        <v>5935</v>
      </c>
      <c r="BC13" s="2">
        <f t="shared" si="4"/>
        <v>25439</v>
      </c>
      <c r="BD13" s="2">
        <f t="shared" si="5"/>
        <v>10627</v>
      </c>
    </row>
    <row r="14" spans="2:56" x14ac:dyDescent="0.25">
      <c r="B14" s="4">
        <v>5</v>
      </c>
      <c r="C14" s="52"/>
      <c r="D14" s="52"/>
      <c r="E14" s="52"/>
      <c r="G14" s="4">
        <v>5</v>
      </c>
      <c r="H14" s="2">
        <v>3953</v>
      </c>
      <c r="I14" s="2">
        <v>9577</v>
      </c>
      <c r="J14" s="2">
        <v>2351</v>
      </c>
      <c r="L14" s="4">
        <v>5</v>
      </c>
      <c r="M14" s="2">
        <v>2974</v>
      </c>
      <c r="N14" s="2">
        <v>10257</v>
      </c>
      <c r="O14" s="2">
        <v>3374</v>
      </c>
      <c r="T14" s="4">
        <v>5</v>
      </c>
      <c r="U14" s="2">
        <v>14312</v>
      </c>
      <c r="V14" s="2">
        <v>16933</v>
      </c>
      <c r="W14" s="2">
        <v>4542</v>
      </c>
      <c r="Y14" s="4">
        <v>5</v>
      </c>
      <c r="Z14" s="2">
        <v>20670</v>
      </c>
      <c r="AA14" s="2">
        <v>24610</v>
      </c>
      <c r="AB14" s="2">
        <v>6155</v>
      </c>
      <c r="AD14" s="4">
        <v>5</v>
      </c>
      <c r="AE14" s="2">
        <v>9835</v>
      </c>
      <c r="AF14" s="2">
        <v>20890</v>
      </c>
      <c r="AG14" s="2">
        <v>5047</v>
      </c>
      <c r="AI14" s="2">
        <f t="shared" si="1"/>
        <v>14312</v>
      </c>
      <c r="AJ14" s="2">
        <f t="shared" si="2"/>
        <v>16717</v>
      </c>
      <c r="AK14" s="2">
        <f t="shared" si="0"/>
        <v>6861</v>
      </c>
      <c r="AM14" s="4">
        <v>5</v>
      </c>
      <c r="AN14" s="2">
        <v>20183</v>
      </c>
      <c r="AO14" s="2">
        <v>23533</v>
      </c>
      <c r="AP14" s="17">
        <v>6074</v>
      </c>
      <c r="AR14" s="4">
        <v>5</v>
      </c>
      <c r="AS14" s="2">
        <v>50105</v>
      </c>
      <c r="AT14" s="2">
        <v>42324</v>
      </c>
      <c r="AU14" s="17">
        <v>7945</v>
      </c>
      <c r="AW14" s="4">
        <v>5</v>
      </c>
      <c r="AX14" s="2">
        <v>17649</v>
      </c>
      <c r="AY14" s="2">
        <v>21666</v>
      </c>
      <c r="AZ14" s="17">
        <v>5682</v>
      </c>
      <c r="BB14" s="2">
        <f t="shared" si="3"/>
        <v>5871</v>
      </c>
      <c r="BC14" s="2">
        <f t="shared" si="4"/>
        <v>29435</v>
      </c>
      <c r="BD14" s="2">
        <f t="shared" si="5"/>
        <v>7814</v>
      </c>
    </row>
    <row r="15" spans="2:56" x14ac:dyDescent="0.25">
      <c r="B15" s="4">
        <v>6</v>
      </c>
      <c r="C15" s="51">
        <v>7547</v>
      </c>
      <c r="D15" s="51">
        <v>15466</v>
      </c>
      <c r="E15" s="51">
        <v>4108</v>
      </c>
      <c r="G15" s="4">
        <v>6</v>
      </c>
      <c r="H15" s="2">
        <v>7194</v>
      </c>
      <c r="I15" s="2">
        <v>18345</v>
      </c>
      <c r="J15" s="2">
        <v>5268</v>
      </c>
      <c r="L15" s="4">
        <v>6</v>
      </c>
      <c r="M15" s="2">
        <v>4563</v>
      </c>
      <c r="N15" s="2">
        <v>13960</v>
      </c>
      <c r="O15" s="2">
        <v>3626</v>
      </c>
      <c r="T15" s="4">
        <v>6</v>
      </c>
      <c r="U15" s="2">
        <v>15096</v>
      </c>
      <c r="V15" s="2">
        <v>19828</v>
      </c>
      <c r="W15" s="2">
        <v>5657</v>
      </c>
      <c r="Y15" s="4">
        <v>6</v>
      </c>
      <c r="Z15" s="2">
        <v>29391</v>
      </c>
      <c r="AA15" s="2">
        <v>32896</v>
      </c>
      <c r="AB15" s="2">
        <v>8485</v>
      </c>
      <c r="AD15" s="4">
        <v>6</v>
      </c>
      <c r="AE15" s="2">
        <v>8550</v>
      </c>
      <c r="AF15" s="2">
        <v>17939</v>
      </c>
      <c r="AG15" s="2">
        <v>5064</v>
      </c>
      <c r="AI15" s="2">
        <f t="shared" si="1"/>
        <v>7549</v>
      </c>
      <c r="AJ15" s="2">
        <f t="shared" si="2"/>
        <v>22197</v>
      </c>
      <c r="AK15" s="2">
        <f t="shared" si="0"/>
        <v>3987</v>
      </c>
      <c r="AM15" s="4">
        <v>6</v>
      </c>
      <c r="AN15" s="2">
        <v>18651</v>
      </c>
      <c r="AO15" s="2">
        <v>25186</v>
      </c>
      <c r="AP15" s="17">
        <v>6357</v>
      </c>
      <c r="AR15" s="4">
        <v>6</v>
      </c>
      <c r="AS15" s="2">
        <v>54209</v>
      </c>
      <c r="AT15" s="2">
        <v>51060</v>
      </c>
      <c r="AU15" s="17">
        <v>11534</v>
      </c>
      <c r="AW15" s="4">
        <v>6</v>
      </c>
      <c r="AX15" s="2">
        <v>11000</v>
      </c>
      <c r="AY15" s="2">
        <v>25249</v>
      </c>
      <c r="AZ15" s="17">
        <v>5607</v>
      </c>
      <c r="BB15" s="2">
        <f t="shared" si="3"/>
        <v>3555</v>
      </c>
      <c r="BC15" s="2">
        <f t="shared" si="4"/>
        <v>24818</v>
      </c>
      <c r="BD15" s="2">
        <f t="shared" si="5"/>
        <v>2450</v>
      </c>
    </row>
    <row r="16" spans="2:56" x14ac:dyDescent="0.25">
      <c r="B16" s="4">
        <v>6</v>
      </c>
      <c r="C16" s="52"/>
      <c r="D16" s="52"/>
      <c r="E16" s="52"/>
      <c r="G16" s="4">
        <v>6</v>
      </c>
      <c r="H16" s="2">
        <v>4542</v>
      </c>
      <c r="I16" s="2">
        <v>10651</v>
      </c>
      <c r="J16" s="2">
        <v>3380</v>
      </c>
      <c r="L16" s="4">
        <v>6</v>
      </c>
      <c r="M16" s="2">
        <v>3464</v>
      </c>
      <c r="N16" s="2">
        <v>9619</v>
      </c>
      <c r="O16" s="2">
        <v>2363</v>
      </c>
      <c r="T16" s="4">
        <v>6</v>
      </c>
      <c r="U16" s="2">
        <v>9750</v>
      </c>
      <c r="V16" s="2">
        <v>17524</v>
      </c>
      <c r="W16" s="2">
        <v>4326</v>
      </c>
      <c r="Y16" s="4">
        <v>6</v>
      </c>
      <c r="Z16" s="2">
        <v>22939</v>
      </c>
      <c r="AA16" s="2">
        <v>21144</v>
      </c>
      <c r="AB16" s="2">
        <v>6200</v>
      </c>
      <c r="AD16" s="4">
        <v>6</v>
      </c>
      <c r="AE16" s="2">
        <v>6477</v>
      </c>
      <c r="AF16" s="2">
        <v>12873</v>
      </c>
      <c r="AG16" s="2">
        <v>3215</v>
      </c>
      <c r="AI16" s="2">
        <f t="shared" si="1"/>
        <v>9750</v>
      </c>
      <c r="AJ16" s="2">
        <f t="shared" si="2"/>
        <v>18397</v>
      </c>
      <c r="AK16" s="2">
        <f t="shared" si="0"/>
        <v>3013</v>
      </c>
      <c r="AM16" s="4">
        <v>6</v>
      </c>
      <c r="AN16" s="2">
        <v>15304</v>
      </c>
      <c r="AO16" s="2">
        <v>21463</v>
      </c>
      <c r="AP16" s="17">
        <v>5288</v>
      </c>
      <c r="AR16" s="4">
        <v>6</v>
      </c>
      <c r="AS16" s="2">
        <v>42375</v>
      </c>
      <c r="AT16" s="2">
        <v>32954</v>
      </c>
      <c r="AU16" s="17">
        <v>8422</v>
      </c>
      <c r="AW16" s="4">
        <v>6</v>
      </c>
      <c r="AX16" s="2">
        <v>11089</v>
      </c>
      <c r="AY16" s="2">
        <v>20885</v>
      </c>
      <c r="AZ16" s="17">
        <v>4404</v>
      </c>
      <c r="BB16" s="2">
        <f t="shared" si="3"/>
        <v>5554</v>
      </c>
      <c r="BC16" s="2">
        <f t="shared" si="4"/>
        <v>19436</v>
      </c>
      <c r="BD16" s="2">
        <f t="shared" si="5"/>
        <v>4612</v>
      </c>
    </row>
    <row r="17" spans="2:56" x14ac:dyDescent="0.25">
      <c r="B17" s="4">
        <v>7</v>
      </c>
      <c r="C17" s="51">
        <v>2978</v>
      </c>
      <c r="D17" s="51">
        <v>8414</v>
      </c>
      <c r="E17" s="51">
        <v>3070</v>
      </c>
      <c r="G17" s="4">
        <v>7</v>
      </c>
      <c r="H17" s="2">
        <v>8605</v>
      </c>
      <c r="I17" s="2">
        <v>21265</v>
      </c>
      <c r="J17" s="2">
        <v>4943</v>
      </c>
      <c r="L17" s="4">
        <v>7</v>
      </c>
      <c r="M17" s="2">
        <v>5138</v>
      </c>
      <c r="N17" s="2">
        <v>14971</v>
      </c>
      <c r="O17" s="2">
        <v>3629</v>
      </c>
      <c r="T17" s="4">
        <v>7</v>
      </c>
      <c r="U17" s="43"/>
      <c r="V17" s="43"/>
      <c r="W17" s="43"/>
      <c r="Y17" s="4">
        <v>7</v>
      </c>
      <c r="Z17" s="2">
        <v>31015</v>
      </c>
      <c r="AA17" s="2">
        <v>38875</v>
      </c>
      <c r="AB17" s="2">
        <v>8312</v>
      </c>
      <c r="AD17" s="4">
        <v>7</v>
      </c>
      <c r="AE17" s="2">
        <v>9170</v>
      </c>
      <c r="AF17" s="2">
        <v>16280</v>
      </c>
      <c r="AG17" s="2">
        <v>4745</v>
      </c>
      <c r="AI17" s="2">
        <f t="shared" si="1"/>
        <v>-2978</v>
      </c>
      <c r="AJ17" s="2">
        <f t="shared" si="2"/>
        <v>22410</v>
      </c>
      <c r="AK17" s="2">
        <f t="shared" si="0"/>
        <v>4032</v>
      </c>
      <c r="AM17" s="4">
        <v>7</v>
      </c>
      <c r="AN17" s="18"/>
      <c r="AO17" s="18"/>
      <c r="AP17" s="19"/>
      <c r="AR17" s="4">
        <v>7</v>
      </c>
      <c r="AS17" s="2">
        <v>48210</v>
      </c>
      <c r="AT17" s="2">
        <v>59390</v>
      </c>
      <c r="AU17" s="17">
        <v>9908</v>
      </c>
      <c r="AW17" s="4">
        <v>7</v>
      </c>
      <c r="AX17" s="2">
        <v>14381</v>
      </c>
      <c r="AY17" s="2">
        <v>22222</v>
      </c>
      <c r="AZ17" s="17">
        <v>5407</v>
      </c>
      <c r="BB17" s="2">
        <f t="shared" si="3"/>
        <v>0</v>
      </c>
      <c r="BC17" s="2">
        <f t="shared" si="4"/>
        <v>17195</v>
      </c>
      <c r="BD17" s="2">
        <f t="shared" si="5"/>
        <v>5211</v>
      </c>
    </row>
    <row r="18" spans="2:56" x14ac:dyDescent="0.25">
      <c r="B18" s="4">
        <v>7</v>
      </c>
      <c r="C18" s="52"/>
      <c r="D18" s="52"/>
      <c r="E18" s="52"/>
      <c r="G18" s="4">
        <v>7</v>
      </c>
      <c r="H18" s="2">
        <v>6483</v>
      </c>
      <c r="I18" s="2">
        <v>15891</v>
      </c>
      <c r="J18" s="2">
        <v>4953</v>
      </c>
      <c r="L18" s="4">
        <v>7</v>
      </c>
      <c r="M18" s="2">
        <v>3834</v>
      </c>
      <c r="N18" s="2">
        <v>12168</v>
      </c>
      <c r="O18" s="2">
        <v>2996</v>
      </c>
      <c r="T18" s="4">
        <v>7</v>
      </c>
      <c r="U18" s="43"/>
      <c r="V18" s="43"/>
      <c r="W18" s="43"/>
      <c r="Y18" s="4">
        <v>7</v>
      </c>
      <c r="Z18" s="2">
        <v>19566</v>
      </c>
      <c r="AA18" s="2">
        <v>22155</v>
      </c>
      <c r="AB18" s="2">
        <v>6931</v>
      </c>
      <c r="AD18" s="4">
        <v>7</v>
      </c>
      <c r="AE18" s="2">
        <v>7610</v>
      </c>
      <c r="AF18" s="2">
        <v>14334</v>
      </c>
      <c r="AG18" s="2">
        <v>4238</v>
      </c>
      <c r="AI18" s="2">
        <f t="shared" si="1"/>
        <v>0</v>
      </c>
      <c r="AJ18" s="2">
        <f t="shared" si="2"/>
        <v>13083</v>
      </c>
      <c r="AK18" s="2">
        <f t="shared" si="0"/>
        <v>3776</v>
      </c>
      <c r="AM18" s="4">
        <v>7</v>
      </c>
      <c r="AN18" s="18"/>
      <c r="AO18" s="18"/>
      <c r="AP18" s="19"/>
      <c r="AR18" s="4">
        <v>7</v>
      </c>
      <c r="AS18" s="2">
        <v>34567</v>
      </c>
      <c r="AT18" s="2">
        <v>31357</v>
      </c>
      <c r="AU18" s="17">
        <v>8276</v>
      </c>
      <c r="AW18" s="4">
        <v>7</v>
      </c>
      <c r="AX18" s="2">
        <v>8026</v>
      </c>
      <c r="AY18" s="2">
        <v>16846</v>
      </c>
      <c r="AZ18" s="17">
        <v>3793</v>
      </c>
      <c r="BB18" s="2">
        <f t="shared" si="3"/>
        <v>0</v>
      </c>
      <c r="BC18" s="2">
        <f t="shared" si="4"/>
        <v>15001</v>
      </c>
      <c r="BD18" s="2">
        <f t="shared" si="5"/>
        <v>416</v>
      </c>
    </row>
    <row r="19" spans="2:56" x14ac:dyDescent="0.25">
      <c r="B19" s="4">
        <v>8</v>
      </c>
      <c r="C19" s="51">
        <v>5531</v>
      </c>
      <c r="D19" s="51">
        <v>10117</v>
      </c>
      <c r="E19" s="51">
        <v>3603</v>
      </c>
      <c r="G19" s="4">
        <v>8</v>
      </c>
      <c r="H19" s="2">
        <v>6227</v>
      </c>
      <c r="I19" s="2">
        <v>15176</v>
      </c>
      <c r="J19" s="2">
        <v>4653</v>
      </c>
      <c r="L19" s="4">
        <v>8</v>
      </c>
      <c r="M19" s="2">
        <v>6743</v>
      </c>
      <c r="N19" s="2">
        <v>14014</v>
      </c>
      <c r="O19" s="2">
        <v>4515</v>
      </c>
      <c r="T19" s="4">
        <v>8</v>
      </c>
      <c r="U19" s="2">
        <v>15631</v>
      </c>
      <c r="V19" s="2">
        <v>22264</v>
      </c>
      <c r="W19" s="2">
        <v>6292</v>
      </c>
      <c r="Y19" s="4">
        <v>8</v>
      </c>
      <c r="Z19" s="2">
        <v>12961</v>
      </c>
      <c r="AA19" s="2">
        <v>21128</v>
      </c>
      <c r="AB19" s="2">
        <v>6833</v>
      </c>
      <c r="AD19" s="4">
        <v>8</v>
      </c>
      <c r="AE19" s="2">
        <v>22582</v>
      </c>
      <c r="AF19" s="2">
        <v>31862</v>
      </c>
      <c r="AG19" s="2">
        <v>6462</v>
      </c>
      <c r="AI19" s="2">
        <f t="shared" si="1"/>
        <v>10100</v>
      </c>
      <c r="AJ19" s="2">
        <f t="shared" si="2"/>
        <v>6734</v>
      </c>
      <c r="AK19" s="2">
        <f t="shared" si="0"/>
        <v>15839</v>
      </c>
      <c r="AM19" s="4">
        <v>8</v>
      </c>
      <c r="AN19" s="2">
        <v>20305</v>
      </c>
      <c r="AO19" s="2">
        <v>30046</v>
      </c>
      <c r="AP19" s="17">
        <v>7563</v>
      </c>
      <c r="AR19" s="4">
        <v>8</v>
      </c>
      <c r="AS19" s="53"/>
      <c r="AT19" s="53"/>
      <c r="AU19" s="54"/>
      <c r="AW19" s="4">
        <v>8</v>
      </c>
      <c r="AX19" s="2">
        <v>22530</v>
      </c>
      <c r="AY19" s="2">
        <v>27745</v>
      </c>
      <c r="AZ19" s="17">
        <v>5745</v>
      </c>
      <c r="BB19" s="2">
        <f t="shared" si="3"/>
        <v>4674</v>
      </c>
      <c r="BC19" s="2">
        <f t="shared" si="4"/>
        <v>-12961</v>
      </c>
      <c r="BD19" s="2">
        <f t="shared" si="5"/>
        <v>-52</v>
      </c>
    </row>
    <row r="20" spans="2:56" x14ac:dyDescent="0.25">
      <c r="B20" s="4">
        <v>8</v>
      </c>
      <c r="C20" s="52"/>
      <c r="D20" s="52"/>
      <c r="E20" s="52"/>
      <c r="G20" s="4">
        <v>8</v>
      </c>
      <c r="H20" s="2">
        <v>2612</v>
      </c>
      <c r="I20" s="2">
        <v>7923</v>
      </c>
      <c r="J20" s="2">
        <v>2738</v>
      </c>
      <c r="L20" s="4">
        <v>8</v>
      </c>
      <c r="M20" s="2">
        <v>4316</v>
      </c>
      <c r="N20" s="2">
        <v>11635</v>
      </c>
      <c r="O20" s="2">
        <v>3217</v>
      </c>
      <c r="T20" s="4">
        <v>8</v>
      </c>
      <c r="U20" s="2">
        <v>12455</v>
      </c>
      <c r="V20" s="2">
        <v>17464</v>
      </c>
      <c r="W20" s="2">
        <v>4152</v>
      </c>
      <c r="Y20" s="4">
        <v>8</v>
      </c>
      <c r="Z20" s="2">
        <v>7911</v>
      </c>
      <c r="AA20" s="2">
        <v>12971</v>
      </c>
      <c r="AB20" s="2">
        <v>4183</v>
      </c>
      <c r="AD20" s="4">
        <v>8</v>
      </c>
      <c r="AE20" s="2">
        <v>22782</v>
      </c>
      <c r="AF20" s="2">
        <v>23496</v>
      </c>
      <c r="AG20" s="2">
        <v>6113</v>
      </c>
      <c r="AI20" s="2">
        <f t="shared" si="1"/>
        <v>12455</v>
      </c>
      <c r="AJ20" s="2">
        <f t="shared" si="2"/>
        <v>5299</v>
      </c>
      <c r="AK20" s="2">
        <f t="shared" si="0"/>
        <v>18466</v>
      </c>
      <c r="AM20" s="4">
        <v>8</v>
      </c>
      <c r="AN20" s="2">
        <v>18689</v>
      </c>
      <c r="AO20" s="2">
        <v>24579</v>
      </c>
      <c r="AP20" s="17">
        <v>5542</v>
      </c>
      <c r="AR20" s="4">
        <v>8</v>
      </c>
      <c r="AS20" s="2">
        <v>15923</v>
      </c>
      <c r="AT20" s="2">
        <v>18151</v>
      </c>
      <c r="AU20" s="17">
        <v>5022</v>
      </c>
      <c r="AW20" s="4">
        <v>8</v>
      </c>
      <c r="AX20" s="2">
        <v>15093</v>
      </c>
      <c r="AY20" s="2">
        <v>24463</v>
      </c>
      <c r="AZ20" s="17">
        <v>6405</v>
      </c>
      <c r="BB20" s="2">
        <f t="shared" si="3"/>
        <v>6234</v>
      </c>
      <c r="BC20" s="2">
        <f t="shared" si="4"/>
        <v>8012</v>
      </c>
      <c r="BD20" s="2">
        <f t="shared" si="5"/>
        <v>-7689</v>
      </c>
    </row>
    <row r="21" spans="2:56" x14ac:dyDescent="0.25">
      <c r="B21" s="4">
        <v>9</v>
      </c>
      <c r="C21" s="51">
        <v>6234</v>
      </c>
      <c r="D21" s="51">
        <v>14303</v>
      </c>
      <c r="E21" s="51">
        <v>3988</v>
      </c>
      <c r="G21" s="4">
        <v>9</v>
      </c>
      <c r="H21" s="2">
        <v>7107</v>
      </c>
      <c r="I21" s="2">
        <v>11813</v>
      </c>
      <c r="J21" s="2">
        <v>4051</v>
      </c>
      <c r="L21" s="4">
        <v>9</v>
      </c>
      <c r="M21" s="2">
        <v>5732</v>
      </c>
      <c r="N21" s="2">
        <v>13733</v>
      </c>
      <c r="O21" s="2">
        <v>3882</v>
      </c>
      <c r="T21" s="4">
        <v>9</v>
      </c>
      <c r="U21" s="2">
        <v>12773</v>
      </c>
      <c r="V21" s="2">
        <v>26821</v>
      </c>
      <c r="W21" s="2">
        <v>5389</v>
      </c>
      <c r="Y21" s="4">
        <v>9</v>
      </c>
      <c r="Z21" s="2">
        <v>21678</v>
      </c>
      <c r="AA21" s="2">
        <v>27465</v>
      </c>
      <c r="AB21" s="2">
        <v>6971</v>
      </c>
      <c r="AD21" s="4">
        <v>9</v>
      </c>
      <c r="AE21" s="2">
        <v>10043</v>
      </c>
      <c r="AF21" s="2">
        <v>16941</v>
      </c>
      <c r="AG21" s="2">
        <v>5560</v>
      </c>
      <c r="AI21" s="2">
        <f t="shared" si="1"/>
        <v>6539</v>
      </c>
      <c r="AJ21" s="2">
        <f t="shared" si="2"/>
        <v>14571</v>
      </c>
      <c r="AK21" s="2">
        <f t="shared" si="0"/>
        <v>4311</v>
      </c>
      <c r="AM21" s="4">
        <v>9</v>
      </c>
      <c r="AN21" s="2">
        <v>18221</v>
      </c>
      <c r="AO21" s="2">
        <v>36447</v>
      </c>
      <c r="AP21" s="17">
        <v>7247</v>
      </c>
      <c r="AR21" s="4">
        <v>9</v>
      </c>
      <c r="AS21" s="2">
        <v>42152</v>
      </c>
      <c r="AT21" s="2">
        <v>48882</v>
      </c>
      <c r="AU21" s="17">
        <v>9037</v>
      </c>
      <c r="AW21" s="4">
        <v>9</v>
      </c>
      <c r="AX21" s="2">
        <v>10130</v>
      </c>
      <c r="AY21" s="2">
        <v>19365</v>
      </c>
      <c r="AZ21" s="17">
        <v>6210</v>
      </c>
      <c r="BB21" s="2">
        <f t="shared" si="3"/>
        <v>5448</v>
      </c>
      <c r="BC21" s="2">
        <f t="shared" si="4"/>
        <v>20474</v>
      </c>
      <c r="BD21" s="2">
        <f t="shared" si="5"/>
        <v>87</v>
      </c>
    </row>
    <row r="22" spans="2:56" x14ac:dyDescent="0.25">
      <c r="B22" s="4">
        <v>9</v>
      </c>
      <c r="C22" s="52"/>
      <c r="D22" s="52"/>
      <c r="E22" s="52"/>
      <c r="G22" s="4">
        <v>9</v>
      </c>
      <c r="H22" s="2">
        <v>5387</v>
      </c>
      <c r="I22" s="2">
        <v>10325</v>
      </c>
      <c r="J22" s="2">
        <v>2662</v>
      </c>
      <c r="L22" s="4">
        <v>9</v>
      </c>
      <c r="M22" s="2">
        <v>3140</v>
      </c>
      <c r="N22" s="2">
        <v>9198</v>
      </c>
      <c r="O22" s="2">
        <v>2423</v>
      </c>
      <c r="T22" s="4">
        <v>9</v>
      </c>
      <c r="U22" s="2">
        <v>8987</v>
      </c>
      <c r="V22" s="2">
        <v>16153</v>
      </c>
      <c r="W22" s="2">
        <v>4149</v>
      </c>
      <c r="Y22" s="4">
        <v>9</v>
      </c>
      <c r="Z22" s="2">
        <v>17215</v>
      </c>
      <c r="AA22" s="2">
        <v>24649</v>
      </c>
      <c r="AB22" s="2">
        <v>5417</v>
      </c>
      <c r="AD22" s="4">
        <v>9</v>
      </c>
      <c r="AE22" s="2">
        <v>5752</v>
      </c>
      <c r="AF22" s="2">
        <v>10599</v>
      </c>
      <c r="AG22" s="2">
        <v>3448</v>
      </c>
      <c r="AI22" s="2">
        <f t="shared" si="1"/>
        <v>8987</v>
      </c>
      <c r="AJ22" s="2">
        <f t="shared" si="2"/>
        <v>11828</v>
      </c>
      <c r="AK22" s="2">
        <f t="shared" si="0"/>
        <v>2612</v>
      </c>
      <c r="AM22" s="4">
        <v>9</v>
      </c>
      <c r="AN22" s="2">
        <v>18056</v>
      </c>
      <c r="AO22" s="2">
        <v>25898</v>
      </c>
      <c r="AP22" s="17">
        <v>5751</v>
      </c>
      <c r="AR22" s="4">
        <v>9</v>
      </c>
      <c r="AS22" s="2">
        <v>39875</v>
      </c>
      <c r="AT22" s="2">
        <v>38078</v>
      </c>
      <c r="AU22" s="17">
        <v>8413</v>
      </c>
      <c r="AW22" s="4">
        <v>9</v>
      </c>
      <c r="AX22" s="2">
        <v>6573</v>
      </c>
      <c r="AY22" s="2">
        <v>10440</v>
      </c>
      <c r="AZ22" s="17">
        <v>3725</v>
      </c>
      <c r="BB22" s="2">
        <f t="shared" si="3"/>
        <v>9069</v>
      </c>
      <c r="BC22" s="2">
        <f t="shared" si="4"/>
        <v>22660</v>
      </c>
      <c r="BD22" s="2">
        <f t="shared" si="5"/>
        <v>821</v>
      </c>
    </row>
    <row r="23" spans="2:56" x14ac:dyDescent="0.25">
      <c r="B23" s="4">
        <v>10</v>
      </c>
      <c r="C23" s="51">
        <v>3677</v>
      </c>
      <c r="D23" s="51">
        <v>9799</v>
      </c>
      <c r="E23" s="51">
        <v>3795</v>
      </c>
      <c r="G23" s="4">
        <v>10</v>
      </c>
      <c r="H23" s="2">
        <v>7141</v>
      </c>
      <c r="I23" s="2">
        <v>16467</v>
      </c>
      <c r="J23" s="2">
        <v>5604</v>
      </c>
      <c r="L23" s="4">
        <v>10</v>
      </c>
      <c r="M23" s="2">
        <v>4500</v>
      </c>
      <c r="N23" s="2">
        <v>11171</v>
      </c>
      <c r="O23" s="2">
        <v>3668</v>
      </c>
      <c r="T23" s="4">
        <v>10</v>
      </c>
      <c r="U23" s="2">
        <v>10195</v>
      </c>
      <c r="V23" s="2">
        <v>20203</v>
      </c>
      <c r="W23" s="2">
        <v>5396</v>
      </c>
      <c r="Y23" s="4">
        <v>10</v>
      </c>
      <c r="Z23" s="2">
        <v>18685</v>
      </c>
      <c r="AA23" s="2">
        <v>23938</v>
      </c>
      <c r="AB23" s="2">
        <v>7896</v>
      </c>
      <c r="AD23" s="4">
        <v>10</v>
      </c>
      <c r="AE23" s="2">
        <v>14033</v>
      </c>
      <c r="AF23" s="2">
        <v>22480</v>
      </c>
      <c r="AG23" s="2">
        <v>5873</v>
      </c>
      <c r="AI23" s="2">
        <f t="shared" si="1"/>
        <v>6518</v>
      </c>
      <c r="AJ23" s="2">
        <f t="shared" si="2"/>
        <v>11544</v>
      </c>
      <c r="AK23" s="2">
        <f t="shared" si="0"/>
        <v>9533</v>
      </c>
      <c r="AM23" s="4">
        <v>10</v>
      </c>
      <c r="AN23" s="2">
        <v>17736</v>
      </c>
      <c r="AO23" s="2">
        <v>37196</v>
      </c>
      <c r="AP23" s="17">
        <v>6664</v>
      </c>
      <c r="AR23" s="4">
        <v>10</v>
      </c>
      <c r="AS23" s="2">
        <v>37413</v>
      </c>
      <c r="AT23" s="2">
        <v>41100</v>
      </c>
      <c r="AU23" s="17">
        <v>8429</v>
      </c>
      <c r="AW23" s="4">
        <v>10</v>
      </c>
      <c r="AX23" s="2">
        <v>17354</v>
      </c>
      <c r="AY23" s="2">
        <v>32076</v>
      </c>
      <c r="AZ23" s="17">
        <v>6089</v>
      </c>
      <c r="BB23" s="2">
        <f t="shared" si="3"/>
        <v>7541</v>
      </c>
      <c r="BC23" s="2">
        <f t="shared" si="4"/>
        <v>18728</v>
      </c>
      <c r="BD23" s="2">
        <f t="shared" si="5"/>
        <v>3321</v>
      </c>
    </row>
    <row r="24" spans="2:56" x14ac:dyDescent="0.25">
      <c r="B24" s="4">
        <v>10</v>
      </c>
      <c r="C24" s="52"/>
      <c r="D24" s="52"/>
      <c r="E24" s="52"/>
      <c r="G24" s="4">
        <v>10</v>
      </c>
      <c r="H24" s="2">
        <v>3282</v>
      </c>
      <c r="I24" s="2">
        <v>8621</v>
      </c>
      <c r="J24" s="2">
        <v>3075</v>
      </c>
      <c r="L24" s="4">
        <v>10</v>
      </c>
      <c r="M24" s="2">
        <v>2948</v>
      </c>
      <c r="N24" s="2">
        <v>8190</v>
      </c>
      <c r="O24" s="2">
        <v>2576</v>
      </c>
      <c r="T24" s="4">
        <v>10</v>
      </c>
      <c r="U24" s="2">
        <v>5728</v>
      </c>
      <c r="V24" s="2">
        <v>11947</v>
      </c>
      <c r="W24" s="2">
        <v>2961</v>
      </c>
      <c r="Y24" s="4">
        <v>10</v>
      </c>
      <c r="Z24" s="2">
        <v>11473</v>
      </c>
      <c r="AA24" s="2">
        <v>14041</v>
      </c>
      <c r="AB24" s="2">
        <v>4565</v>
      </c>
      <c r="AD24" s="4">
        <v>10</v>
      </c>
      <c r="AE24" s="2">
        <v>11063</v>
      </c>
      <c r="AF24" s="2">
        <v>15460</v>
      </c>
      <c r="AG24" s="2">
        <v>4235</v>
      </c>
      <c r="AI24" s="2">
        <f t="shared" si="1"/>
        <v>5728</v>
      </c>
      <c r="AJ24" s="2">
        <f t="shared" si="2"/>
        <v>8191</v>
      </c>
      <c r="AK24" s="2">
        <f t="shared" si="0"/>
        <v>8115</v>
      </c>
      <c r="AM24" s="4">
        <v>10</v>
      </c>
      <c r="AN24" s="2">
        <v>14143</v>
      </c>
      <c r="AO24" s="2">
        <v>19947</v>
      </c>
      <c r="AP24" s="17">
        <v>5264</v>
      </c>
      <c r="AR24" s="4">
        <v>10</v>
      </c>
      <c r="AS24" s="2">
        <v>27430</v>
      </c>
      <c r="AT24" s="2">
        <v>27831</v>
      </c>
      <c r="AU24" s="17">
        <v>6611</v>
      </c>
      <c r="AW24" s="4">
        <v>10</v>
      </c>
      <c r="AX24" s="2">
        <v>13646</v>
      </c>
      <c r="AY24" s="2">
        <v>18741</v>
      </c>
      <c r="AZ24" s="17">
        <v>5279</v>
      </c>
      <c r="BB24" s="2">
        <f t="shared" si="3"/>
        <v>8415</v>
      </c>
      <c r="BC24" s="2">
        <f t="shared" si="4"/>
        <v>15957</v>
      </c>
      <c r="BD24" s="2">
        <f t="shared" si="5"/>
        <v>2583</v>
      </c>
    </row>
    <row r="25" spans="2:56" x14ac:dyDescent="0.25">
      <c r="B25" s="4">
        <v>11</v>
      </c>
      <c r="C25" s="51">
        <v>5600</v>
      </c>
      <c r="D25" s="51">
        <v>11998</v>
      </c>
      <c r="E25" s="51">
        <v>4147</v>
      </c>
      <c r="G25" s="4">
        <v>11</v>
      </c>
      <c r="H25" s="2">
        <v>4974</v>
      </c>
      <c r="I25" s="2">
        <v>11638</v>
      </c>
      <c r="J25" s="2">
        <v>4080</v>
      </c>
      <c r="L25" s="4">
        <v>11</v>
      </c>
      <c r="M25" s="2">
        <v>4188</v>
      </c>
      <c r="N25" s="2">
        <v>11553</v>
      </c>
      <c r="O25" s="2">
        <v>4811</v>
      </c>
      <c r="T25" s="4">
        <v>11</v>
      </c>
      <c r="U25" s="2">
        <v>12069</v>
      </c>
      <c r="V25" s="2">
        <v>18815</v>
      </c>
      <c r="W25" s="2">
        <v>5858</v>
      </c>
      <c r="Y25" s="4">
        <v>11</v>
      </c>
      <c r="Z25" s="2">
        <v>11536</v>
      </c>
      <c r="AA25" s="2">
        <v>16765</v>
      </c>
      <c r="AB25" s="2">
        <v>5814</v>
      </c>
      <c r="AD25" s="4">
        <v>11</v>
      </c>
      <c r="AE25" s="2">
        <v>19317</v>
      </c>
      <c r="AF25" s="2">
        <v>32127</v>
      </c>
      <c r="AG25" s="2">
        <v>7721</v>
      </c>
      <c r="AI25" s="2">
        <f t="shared" si="1"/>
        <v>6469</v>
      </c>
      <c r="AJ25" s="2">
        <f t="shared" si="2"/>
        <v>6562</v>
      </c>
      <c r="AK25" s="2">
        <f t="shared" si="0"/>
        <v>15129</v>
      </c>
      <c r="AM25" s="4">
        <v>11</v>
      </c>
      <c r="AN25" s="2">
        <v>23621</v>
      </c>
      <c r="AO25" s="2">
        <v>33122</v>
      </c>
      <c r="AP25" s="17">
        <v>7473</v>
      </c>
      <c r="AR25" s="4">
        <v>11</v>
      </c>
      <c r="AS25" s="2">
        <v>23194</v>
      </c>
      <c r="AT25" s="2">
        <v>29718</v>
      </c>
      <c r="AU25" s="17">
        <v>7411</v>
      </c>
      <c r="AW25" s="4">
        <v>11</v>
      </c>
      <c r="AX25" s="2">
        <v>30396</v>
      </c>
      <c r="AY25" s="2">
        <v>41645</v>
      </c>
      <c r="AZ25" s="17">
        <v>9819</v>
      </c>
      <c r="BB25" s="2">
        <f t="shared" si="3"/>
        <v>11552</v>
      </c>
      <c r="BC25" s="2">
        <f t="shared" si="4"/>
        <v>11658</v>
      </c>
      <c r="BD25" s="2">
        <f t="shared" si="5"/>
        <v>11079</v>
      </c>
    </row>
    <row r="26" spans="2:56" x14ac:dyDescent="0.25">
      <c r="B26" s="4">
        <v>11</v>
      </c>
      <c r="C26" s="52"/>
      <c r="D26" s="52"/>
      <c r="E26" s="52"/>
      <c r="G26" s="4">
        <v>11</v>
      </c>
      <c r="H26" s="2">
        <v>2844</v>
      </c>
      <c r="I26" s="2">
        <v>7815</v>
      </c>
      <c r="J26" s="2">
        <v>2459</v>
      </c>
      <c r="L26" s="4">
        <v>11</v>
      </c>
      <c r="M26" s="2">
        <v>1447</v>
      </c>
      <c r="N26" s="2">
        <v>4567</v>
      </c>
      <c r="O26" s="2">
        <v>1438</v>
      </c>
      <c r="T26" s="4">
        <v>11</v>
      </c>
      <c r="U26" s="2">
        <v>6668</v>
      </c>
      <c r="V26" s="2">
        <v>11501</v>
      </c>
      <c r="W26" s="2">
        <v>3290</v>
      </c>
      <c r="Y26" s="4">
        <v>11</v>
      </c>
      <c r="Z26" s="2">
        <v>8018</v>
      </c>
      <c r="AA26" s="2">
        <v>11962</v>
      </c>
      <c r="AB26" s="2">
        <v>4038</v>
      </c>
      <c r="AD26" s="4">
        <v>11</v>
      </c>
      <c r="AE26" s="2">
        <v>10254</v>
      </c>
      <c r="AF26" s="2">
        <v>14964</v>
      </c>
      <c r="AG26" s="2">
        <v>3939</v>
      </c>
      <c r="AI26" s="2">
        <f t="shared" si="1"/>
        <v>6668</v>
      </c>
      <c r="AJ26" s="2">
        <f t="shared" si="2"/>
        <v>5174</v>
      </c>
      <c r="AK26" s="2">
        <f t="shared" si="0"/>
        <v>8807</v>
      </c>
      <c r="AM26" s="4">
        <v>11</v>
      </c>
      <c r="AN26" s="2">
        <v>17837</v>
      </c>
      <c r="AO26" s="2">
        <v>24882</v>
      </c>
      <c r="AP26" s="17">
        <v>5528</v>
      </c>
      <c r="AR26" s="4">
        <v>11</v>
      </c>
      <c r="AS26" s="2">
        <v>17510</v>
      </c>
      <c r="AT26" s="2">
        <v>22180</v>
      </c>
      <c r="AU26" s="17">
        <v>5731</v>
      </c>
      <c r="AW26" s="4">
        <v>11</v>
      </c>
      <c r="AX26" s="2">
        <v>21451</v>
      </c>
      <c r="AY26" s="2">
        <v>23511</v>
      </c>
      <c r="AZ26" s="17">
        <v>5788</v>
      </c>
      <c r="BB26" s="2">
        <f t="shared" si="3"/>
        <v>11169</v>
      </c>
      <c r="BC26" s="2">
        <f t="shared" si="4"/>
        <v>9492</v>
      </c>
      <c r="BD26" s="2">
        <f t="shared" si="5"/>
        <v>11197</v>
      </c>
    </row>
    <row r="27" spans="2:56" x14ac:dyDescent="0.25">
      <c r="B27" s="4">
        <v>12</v>
      </c>
      <c r="C27" s="51">
        <v>3920</v>
      </c>
      <c r="D27" s="51">
        <v>10054</v>
      </c>
      <c r="E27" s="51">
        <v>2681</v>
      </c>
      <c r="G27" s="4">
        <v>12</v>
      </c>
      <c r="H27" s="2">
        <v>6368</v>
      </c>
      <c r="I27" s="2">
        <v>14751</v>
      </c>
      <c r="J27" s="2">
        <v>4141</v>
      </c>
      <c r="L27" s="4">
        <v>12</v>
      </c>
      <c r="M27" s="2">
        <v>3049</v>
      </c>
      <c r="N27" s="2">
        <v>11720</v>
      </c>
      <c r="O27" s="2">
        <v>3838</v>
      </c>
      <c r="T27" s="4">
        <v>12</v>
      </c>
      <c r="U27" s="2">
        <v>7149</v>
      </c>
      <c r="V27" s="2">
        <v>13240</v>
      </c>
      <c r="W27" s="2">
        <v>3825</v>
      </c>
      <c r="Y27" s="4">
        <v>12</v>
      </c>
      <c r="Z27" s="2">
        <v>21985</v>
      </c>
      <c r="AA27" s="2">
        <v>25575</v>
      </c>
      <c r="AB27" s="2">
        <v>6558</v>
      </c>
      <c r="AD27" s="4">
        <v>12</v>
      </c>
      <c r="AE27" s="2">
        <v>8327</v>
      </c>
      <c r="AF27" s="2">
        <v>17024</v>
      </c>
      <c r="AG27" s="2">
        <v>4943</v>
      </c>
      <c r="AI27" s="2">
        <f t="shared" si="1"/>
        <v>3229</v>
      </c>
      <c r="AJ27" s="2">
        <f t="shared" si="2"/>
        <v>15617</v>
      </c>
      <c r="AK27" s="2">
        <f t="shared" si="0"/>
        <v>5278</v>
      </c>
      <c r="AM27" s="4">
        <v>12</v>
      </c>
      <c r="AN27" s="18"/>
      <c r="AO27" s="18"/>
      <c r="AP27" s="19"/>
      <c r="AR27" s="4">
        <v>12</v>
      </c>
      <c r="AS27" s="2">
        <v>39698</v>
      </c>
      <c r="AT27" s="2">
        <v>41736</v>
      </c>
      <c r="AU27" s="17">
        <v>8514</v>
      </c>
      <c r="AW27" s="4">
        <v>12</v>
      </c>
      <c r="AX27" s="2">
        <v>16281</v>
      </c>
      <c r="AY27" s="2">
        <v>29805</v>
      </c>
      <c r="AZ27" s="17">
        <v>5852</v>
      </c>
      <c r="BB27" s="2">
        <f t="shared" si="3"/>
        <v>-7149</v>
      </c>
      <c r="BC27" s="2">
        <f t="shared" si="4"/>
        <v>17713</v>
      </c>
      <c r="BD27" s="2">
        <f t="shared" si="5"/>
        <v>7954</v>
      </c>
    </row>
    <row r="28" spans="2:56" x14ac:dyDescent="0.25">
      <c r="B28" s="4">
        <v>12</v>
      </c>
      <c r="C28" s="52"/>
      <c r="D28" s="52"/>
      <c r="E28" s="52"/>
      <c r="G28" s="4">
        <v>12</v>
      </c>
      <c r="H28" s="2">
        <v>5770</v>
      </c>
      <c r="I28" s="2">
        <v>14460</v>
      </c>
      <c r="J28" s="2">
        <v>3007</v>
      </c>
      <c r="L28" s="4">
        <v>12</v>
      </c>
      <c r="M28" s="2">
        <v>1998</v>
      </c>
      <c r="N28" s="2">
        <v>6850</v>
      </c>
      <c r="O28" s="2">
        <v>2143</v>
      </c>
      <c r="T28" s="4">
        <v>12</v>
      </c>
      <c r="U28" s="2">
        <v>5586</v>
      </c>
      <c r="V28" s="2">
        <v>13721</v>
      </c>
      <c r="W28" s="2">
        <v>3703</v>
      </c>
      <c r="Y28" s="4">
        <v>12</v>
      </c>
      <c r="Z28" s="2">
        <v>19724</v>
      </c>
      <c r="AA28" s="2">
        <v>23319</v>
      </c>
      <c r="AB28" s="2">
        <v>5995</v>
      </c>
      <c r="AD28" s="4">
        <v>12</v>
      </c>
      <c r="AE28" s="2">
        <v>5902</v>
      </c>
      <c r="AF28" s="2">
        <v>13276</v>
      </c>
      <c r="AG28" s="2">
        <v>3301</v>
      </c>
      <c r="AI28" s="2">
        <f t="shared" si="1"/>
        <v>5586</v>
      </c>
      <c r="AJ28" s="2">
        <f t="shared" si="2"/>
        <v>13954</v>
      </c>
      <c r="AK28" s="2">
        <f t="shared" si="0"/>
        <v>3904</v>
      </c>
      <c r="AM28" s="4">
        <v>12</v>
      </c>
      <c r="AN28" s="18"/>
      <c r="AO28" s="18"/>
      <c r="AP28" s="19"/>
      <c r="AR28" s="4">
        <v>12</v>
      </c>
      <c r="AS28" s="2">
        <v>37584</v>
      </c>
      <c r="AT28" s="2">
        <v>43078</v>
      </c>
      <c r="AU28" s="17">
        <v>8784</v>
      </c>
      <c r="AW28" s="4">
        <v>12</v>
      </c>
      <c r="AX28" s="2">
        <v>11510</v>
      </c>
      <c r="AY28" s="2">
        <v>16606</v>
      </c>
      <c r="AZ28" s="17">
        <v>4817</v>
      </c>
      <c r="BB28" s="2">
        <f t="shared" si="3"/>
        <v>-5586</v>
      </c>
      <c r="BC28" s="2">
        <f t="shared" si="4"/>
        <v>17860</v>
      </c>
      <c r="BD28" s="2">
        <f t="shared" si="5"/>
        <v>5608</v>
      </c>
    </row>
    <row r="29" spans="2:56" x14ac:dyDescent="0.25">
      <c r="B29" s="4">
        <v>13</v>
      </c>
      <c r="C29" s="51">
        <v>3719</v>
      </c>
      <c r="D29" s="51">
        <v>10262</v>
      </c>
      <c r="E29" s="51">
        <v>3169</v>
      </c>
      <c r="G29" s="4">
        <v>13</v>
      </c>
      <c r="H29" s="2">
        <v>6116</v>
      </c>
      <c r="I29" s="2">
        <v>13962</v>
      </c>
      <c r="J29" s="2">
        <v>3722</v>
      </c>
      <c r="L29" s="4">
        <v>13</v>
      </c>
      <c r="M29" s="2">
        <v>4017</v>
      </c>
      <c r="N29" s="2">
        <v>11618</v>
      </c>
      <c r="O29" s="2">
        <v>2997</v>
      </c>
      <c r="T29" s="4">
        <v>13</v>
      </c>
      <c r="U29" s="2">
        <v>6046</v>
      </c>
      <c r="V29" s="2">
        <v>11877</v>
      </c>
      <c r="W29" s="2">
        <v>3521</v>
      </c>
      <c r="Y29" s="4">
        <v>13</v>
      </c>
      <c r="Z29" s="2">
        <v>19567</v>
      </c>
      <c r="AA29" s="2">
        <v>24546</v>
      </c>
      <c r="AB29" s="2">
        <v>6255</v>
      </c>
      <c r="AD29" s="4">
        <v>13</v>
      </c>
      <c r="AE29" s="2">
        <v>12908</v>
      </c>
      <c r="AF29" s="2">
        <v>23489</v>
      </c>
      <c r="AG29" s="2">
        <v>5793</v>
      </c>
      <c r="AI29" s="2">
        <f t="shared" si="1"/>
        <v>2327</v>
      </c>
      <c r="AJ29" s="2">
        <f t="shared" si="2"/>
        <v>13451</v>
      </c>
      <c r="AK29" s="2">
        <f t="shared" si="0"/>
        <v>8891</v>
      </c>
      <c r="AM29" s="4">
        <v>13</v>
      </c>
      <c r="AN29" s="18"/>
      <c r="AO29" s="18"/>
      <c r="AP29" s="19"/>
      <c r="AR29" s="4">
        <v>13</v>
      </c>
      <c r="AS29" s="2">
        <v>35710</v>
      </c>
      <c r="AT29" s="2">
        <v>38997</v>
      </c>
      <c r="AU29" s="17">
        <v>8050</v>
      </c>
      <c r="AW29" s="4">
        <v>13</v>
      </c>
      <c r="AX29" s="18"/>
      <c r="AY29" s="18"/>
      <c r="AZ29" s="19"/>
      <c r="BB29" s="2">
        <f t="shared" si="3"/>
        <v>-6046</v>
      </c>
      <c r="BC29" s="2">
        <f t="shared" si="4"/>
        <v>16143</v>
      </c>
      <c r="BD29" s="2">
        <f t="shared" si="5"/>
        <v>-12908</v>
      </c>
    </row>
    <row r="30" spans="2:56" x14ac:dyDescent="0.25">
      <c r="B30" s="4">
        <v>13</v>
      </c>
      <c r="C30" s="52"/>
      <c r="D30" s="52"/>
      <c r="E30" s="52"/>
      <c r="G30" s="4">
        <v>13</v>
      </c>
      <c r="H30" s="2">
        <v>3554</v>
      </c>
      <c r="I30" s="2">
        <v>10884</v>
      </c>
      <c r="J30" s="2">
        <v>3129</v>
      </c>
      <c r="L30" s="4">
        <v>13</v>
      </c>
      <c r="M30" s="2">
        <v>2912</v>
      </c>
      <c r="N30" s="2">
        <v>9954</v>
      </c>
      <c r="O30" s="2">
        <v>3314</v>
      </c>
      <c r="T30" s="4">
        <v>13</v>
      </c>
      <c r="U30" s="2">
        <v>5393</v>
      </c>
      <c r="V30" s="2">
        <v>11601</v>
      </c>
      <c r="W30" s="2">
        <v>3424</v>
      </c>
      <c r="Y30" s="4">
        <v>13</v>
      </c>
      <c r="Z30" s="2">
        <v>14491</v>
      </c>
      <c r="AA30" s="2">
        <v>18417</v>
      </c>
      <c r="AB30" s="2">
        <v>5309</v>
      </c>
      <c r="AD30" s="4">
        <v>13</v>
      </c>
      <c r="AE30" s="2">
        <v>13319</v>
      </c>
      <c r="AF30" s="2">
        <v>19183</v>
      </c>
      <c r="AG30" s="2">
        <v>5525</v>
      </c>
      <c r="AI30" s="2">
        <f t="shared" si="1"/>
        <v>5393</v>
      </c>
      <c r="AJ30" s="2">
        <f t="shared" si="2"/>
        <v>10937</v>
      </c>
      <c r="AK30" s="2">
        <f t="shared" si="0"/>
        <v>10407</v>
      </c>
      <c r="AM30" s="4">
        <v>13</v>
      </c>
      <c r="AN30" s="18"/>
      <c r="AO30" s="18"/>
      <c r="AP30" s="19"/>
      <c r="AR30" s="4">
        <v>13</v>
      </c>
      <c r="AS30" s="2">
        <v>27330</v>
      </c>
      <c r="AT30" s="2">
        <v>30717</v>
      </c>
      <c r="AU30" s="17">
        <v>6934</v>
      </c>
      <c r="AW30" s="4">
        <v>13</v>
      </c>
      <c r="AX30" s="18"/>
      <c r="AY30" s="18"/>
      <c r="AZ30" s="19"/>
      <c r="BB30" s="2">
        <f t="shared" si="3"/>
        <v>-5393</v>
      </c>
      <c r="BC30" s="2">
        <f t="shared" si="4"/>
        <v>12839</v>
      </c>
      <c r="BD30" s="2">
        <f t="shared" si="5"/>
        <v>-13319</v>
      </c>
    </row>
    <row r="31" spans="2:56" x14ac:dyDescent="0.25">
      <c r="B31" s="4">
        <v>14</v>
      </c>
      <c r="C31" s="51">
        <v>5272</v>
      </c>
      <c r="D31" s="51">
        <v>10863</v>
      </c>
      <c r="E31" s="51">
        <v>3968</v>
      </c>
      <c r="G31" s="4">
        <v>14</v>
      </c>
      <c r="H31" s="2">
        <v>6428</v>
      </c>
      <c r="I31" s="2">
        <v>12797</v>
      </c>
      <c r="J31" s="2">
        <v>3799</v>
      </c>
      <c r="L31" s="4">
        <v>14</v>
      </c>
      <c r="M31" s="2">
        <v>3672</v>
      </c>
      <c r="N31" s="2">
        <v>12034</v>
      </c>
      <c r="O31" s="2">
        <v>3713</v>
      </c>
      <c r="T31" s="4">
        <v>14</v>
      </c>
      <c r="U31" s="2">
        <v>9584</v>
      </c>
      <c r="V31" s="2">
        <v>15399</v>
      </c>
      <c r="W31" s="2">
        <v>5191</v>
      </c>
      <c r="Y31" s="4">
        <v>14</v>
      </c>
      <c r="Z31" s="2">
        <v>10266</v>
      </c>
      <c r="AA31" s="2">
        <v>16473</v>
      </c>
      <c r="AB31" s="2">
        <v>5283</v>
      </c>
      <c r="AD31" s="4">
        <v>14</v>
      </c>
      <c r="AE31" s="43">
        <v>4574</v>
      </c>
      <c r="AF31" s="43">
        <v>10078</v>
      </c>
      <c r="AG31" s="43">
        <v>3915</v>
      </c>
      <c r="AI31" s="2">
        <f t="shared" si="1"/>
        <v>4312</v>
      </c>
      <c r="AJ31" s="2">
        <f t="shared" si="2"/>
        <v>3838</v>
      </c>
      <c r="AK31" s="2">
        <f t="shared" si="0"/>
        <v>902</v>
      </c>
      <c r="AM31" s="4">
        <v>14</v>
      </c>
      <c r="AN31" s="2">
        <v>17007</v>
      </c>
      <c r="AO31" s="2">
        <v>22644</v>
      </c>
      <c r="AP31" s="17">
        <v>6227</v>
      </c>
      <c r="AR31" s="4">
        <v>14</v>
      </c>
      <c r="AS31" s="18"/>
      <c r="AT31" s="18"/>
      <c r="AU31" s="19"/>
      <c r="AW31" s="4">
        <v>14</v>
      </c>
      <c r="AX31" s="18"/>
      <c r="AY31" s="18"/>
      <c r="AZ31" s="19"/>
      <c r="BB31" s="2">
        <f t="shared" si="3"/>
        <v>7423</v>
      </c>
      <c r="BC31" s="2">
        <f t="shared" si="4"/>
        <v>-10266</v>
      </c>
      <c r="BD31" s="2">
        <f t="shared" si="5"/>
        <v>-4574</v>
      </c>
    </row>
    <row r="32" spans="2:56" x14ac:dyDescent="0.25">
      <c r="B32" s="4">
        <v>14</v>
      </c>
      <c r="C32" s="52"/>
      <c r="D32" s="52"/>
      <c r="E32" s="52"/>
      <c r="G32" s="4">
        <v>14</v>
      </c>
      <c r="H32" s="2">
        <v>3733</v>
      </c>
      <c r="I32" s="2">
        <v>9012</v>
      </c>
      <c r="J32" s="2">
        <v>2543</v>
      </c>
      <c r="L32" s="4">
        <v>14</v>
      </c>
      <c r="M32" s="2">
        <v>1785</v>
      </c>
      <c r="N32" s="2">
        <v>6542</v>
      </c>
      <c r="O32" s="2">
        <v>1959</v>
      </c>
      <c r="T32" s="4">
        <v>14</v>
      </c>
      <c r="U32" s="2">
        <v>5249</v>
      </c>
      <c r="V32" s="2">
        <v>8822</v>
      </c>
      <c r="W32" s="2">
        <v>2748</v>
      </c>
      <c r="Y32" s="4">
        <v>14</v>
      </c>
      <c r="Z32" s="2">
        <v>7677</v>
      </c>
      <c r="AA32" s="2">
        <v>11954</v>
      </c>
      <c r="AB32" s="2">
        <v>3257</v>
      </c>
      <c r="AD32" s="4">
        <v>14</v>
      </c>
      <c r="AE32" s="43">
        <v>2906</v>
      </c>
      <c r="AF32" s="43">
        <v>6738</v>
      </c>
      <c r="AG32" s="43">
        <v>2148</v>
      </c>
      <c r="AI32" s="2">
        <f t="shared" si="1"/>
        <v>5249</v>
      </c>
      <c r="AJ32" s="2">
        <f t="shared" si="2"/>
        <v>3944</v>
      </c>
      <c r="AK32" s="2">
        <f t="shared" si="0"/>
        <v>1121</v>
      </c>
      <c r="AM32" s="4">
        <v>14</v>
      </c>
      <c r="AN32" s="2">
        <v>13079</v>
      </c>
      <c r="AO32" s="2">
        <v>15750</v>
      </c>
      <c r="AP32" s="17">
        <v>4195</v>
      </c>
      <c r="AR32" s="4">
        <v>14</v>
      </c>
      <c r="AS32" s="18"/>
      <c r="AT32" s="18"/>
      <c r="AU32" s="19"/>
      <c r="AW32" s="4">
        <v>14</v>
      </c>
      <c r="AX32" s="18"/>
      <c r="AY32" s="18"/>
      <c r="AZ32" s="19"/>
      <c r="BB32" s="2">
        <f t="shared" si="3"/>
        <v>7830</v>
      </c>
      <c r="BC32" s="2">
        <f t="shared" si="4"/>
        <v>-7677</v>
      </c>
      <c r="BD32" s="2">
        <f t="shared" si="5"/>
        <v>-2906</v>
      </c>
    </row>
    <row r="33" spans="2:56" x14ac:dyDescent="0.25">
      <c r="B33" s="4">
        <v>15</v>
      </c>
      <c r="C33" s="51">
        <v>6001</v>
      </c>
      <c r="D33" s="51">
        <v>14612</v>
      </c>
      <c r="E33" s="51">
        <v>3883</v>
      </c>
      <c r="G33" s="4">
        <v>15</v>
      </c>
      <c r="H33" s="2">
        <v>6325</v>
      </c>
      <c r="I33" s="2">
        <v>15713</v>
      </c>
      <c r="J33" s="2">
        <v>4408</v>
      </c>
      <c r="L33" s="4">
        <v>15</v>
      </c>
      <c r="M33" s="2">
        <v>2576</v>
      </c>
      <c r="N33" s="2">
        <v>8323</v>
      </c>
      <c r="O33" s="2">
        <v>3326</v>
      </c>
      <c r="T33" s="4">
        <v>15</v>
      </c>
      <c r="U33" s="2">
        <v>14427</v>
      </c>
      <c r="V33" s="2">
        <v>22487</v>
      </c>
      <c r="W33" s="2">
        <v>5254</v>
      </c>
      <c r="Y33" s="4">
        <v>15</v>
      </c>
      <c r="Z33" s="2">
        <v>12897</v>
      </c>
      <c r="AA33" s="2">
        <v>22696</v>
      </c>
      <c r="AB33" s="2">
        <v>6427</v>
      </c>
      <c r="AD33" s="4">
        <v>15</v>
      </c>
      <c r="AE33" s="2">
        <v>7411</v>
      </c>
      <c r="AF33" s="2">
        <v>14713</v>
      </c>
      <c r="AG33" s="2">
        <v>4500</v>
      </c>
      <c r="AI33" s="2">
        <f t="shared" si="1"/>
        <v>8426</v>
      </c>
      <c r="AJ33" s="2">
        <f t="shared" si="2"/>
        <v>6572</v>
      </c>
      <c r="AK33" s="2">
        <f t="shared" si="0"/>
        <v>4835</v>
      </c>
      <c r="AM33" s="4">
        <v>15</v>
      </c>
      <c r="AN33" s="2">
        <v>25095</v>
      </c>
      <c r="AO33" s="2">
        <v>36388</v>
      </c>
      <c r="AP33" s="17">
        <v>7641</v>
      </c>
      <c r="AR33" s="4">
        <v>15</v>
      </c>
      <c r="AS33" s="2">
        <v>29992</v>
      </c>
      <c r="AT33" s="2">
        <v>35765</v>
      </c>
      <c r="AU33" s="17">
        <v>8295</v>
      </c>
      <c r="AW33" s="4">
        <v>15</v>
      </c>
      <c r="AX33" s="18"/>
      <c r="AY33" s="18"/>
      <c r="AZ33" s="19"/>
      <c r="BB33" s="2">
        <f t="shared" si="3"/>
        <v>10668</v>
      </c>
      <c r="BC33" s="2">
        <f t="shared" si="4"/>
        <v>17095</v>
      </c>
      <c r="BD33" s="2">
        <f t="shared" si="5"/>
        <v>-7411</v>
      </c>
    </row>
    <row r="34" spans="2:56" x14ac:dyDescent="0.25">
      <c r="B34" s="4">
        <v>15</v>
      </c>
      <c r="C34" s="52"/>
      <c r="D34" s="52"/>
      <c r="E34" s="52"/>
      <c r="G34" s="4">
        <v>15</v>
      </c>
      <c r="H34" s="2">
        <v>4180</v>
      </c>
      <c r="I34" s="2">
        <v>9648</v>
      </c>
      <c r="J34" s="2">
        <v>2740</v>
      </c>
      <c r="L34" s="90">
        <v>15</v>
      </c>
      <c r="M34" t="s">
        <v>24</v>
      </c>
      <c r="N34" s="2">
        <v>3827</v>
      </c>
      <c r="O34" s="2">
        <v>1216</v>
      </c>
      <c r="T34" s="4">
        <v>15</v>
      </c>
      <c r="U34" s="2">
        <v>11707</v>
      </c>
      <c r="V34" s="2">
        <v>15904</v>
      </c>
      <c r="W34" s="2">
        <v>4764</v>
      </c>
      <c r="Y34" s="4">
        <v>15</v>
      </c>
      <c r="Z34" s="2">
        <v>8962</v>
      </c>
      <c r="AA34" s="2">
        <v>15069</v>
      </c>
      <c r="AB34" s="2">
        <v>3901</v>
      </c>
      <c r="AD34" s="4">
        <v>15</v>
      </c>
      <c r="AE34" s="2">
        <v>5827</v>
      </c>
      <c r="AF34" s="2">
        <v>11847</v>
      </c>
      <c r="AG34" s="2">
        <v>3305</v>
      </c>
      <c r="AI34" s="2">
        <f t="shared" si="1"/>
        <v>11707</v>
      </c>
      <c r="AJ34" s="2">
        <f t="shared" si="2"/>
        <v>4782</v>
      </c>
      <c r="AK34" s="2" t="e">
        <f>AE34-M34</f>
        <v>#VALUE!</v>
      </c>
      <c r="AM34" s="4">
        <v>15</v>
      </c>
      <c r="AN34" s="2">
        <v>17672</v>
      </c>
      <c r="AO34" s="2">
        <v>23177</v>
      </c>
      <c r="AP34" s="17">
        <v>5920</v>
      </c>
      <c r="AR34" s="4">
        <v>15</v>
      </c>
      <c r="AS34" s="2">
        <v>22207</v>
      </c>
      <c r="AT34" s="2">
        <v>22695</v>
      </c>
      <c r="AU34" s="17">
        <v>5893</v>
      </c>
      <c r="AW34" s="4">
        <v>15</v>
      </c>
      <c r="AX34" s="18"/>
      <c r="AY34" s="18"/>
      <c r="AZ34" s="19"/>
      <c r="BB34" s="2">
        <f t="shared" si="3"/>
        <v>5965</v>
      </c>
      <c r="BC34" s="2">
        <f t="shared" si="4"/>
        <v>13245</v>
      </c>
      <c r="BD34" s="2">
        <f t="shared" si="5"/>
        <v>-5827</v>
      </c>
    </row>
    <row r="35" spans="2:56" x14ac:dyDescent="0.25">
      <c r="B35" s="4">
        <v>16</v>
      </c>
      <c r="C35" s="51">
        <v>6326</v>
      </c>
      <c r="D35" s="51">
        <v>12231</v>
      </c>
      <c r="E35" s="51">
        <v>4693</v>
      </c>
      <c r="G35" s="4">
        <v>16</v>
      </c>
      <c r="H35" s="2">
        <v>5215</v>
      </c>
      <c r="I35" s="2">
        <v>12901</v>
      </c>
      <c r="J35" s="2">
        <v>3196</v>
      </c>
      <c r="L35" s="4">
        <v>16</v>
      </c>
      <c r="M35" s="2">
        <v>3553</v>
      </c>
      <c r="N35" s="2">
        <v>10902</v>
      </c>
      <c r="O35" s="2">
        <v>2899</v>
      </c>
      <c r="T35" s="4">
        <v>16</v>
      </c>
      <c r="U35" s="2">
        <v>15701</v>
      </c>
      <c r="V35" s="2">
        <v>24461</v>
      </c>
      <c r="W35" s="2">
        <v>6761</v>
      </c>
      <c r="Y35" s="4">
        <v>16</v>
      </c>
      <c r="Z35" s="2">
        <v>21348</v>
      </c>
      <c r="AA35" s="2">
        <v>24447</v>
      </c>
      <c r="AB35" s="2">
        <v>6731</v>
      </c>
      <c r="AD35" s="4">
        <v>16</v>
      </c>
      <c r="AE35" s="43">
        <v>3546</v>
      </c>
      <c r="AF35" s="43">
        <v>7744</v>
      </c>
      <c r="AG35" s="43">
        <v>2909</v>
      </c>
      <c r="AI35" s="2">
        <f t="shared" si="1"/>
        <v>9375</v>
      </c>
      <c r="AJ35" s="2">
        <f t="shared" si="2"/>
        <v>16133</v>
      </c>
      <c r="AK35" s="2">
        <f t="shared" si="0"/>
        <v>-7</v>
      </c>
      <c r="AM35" s="4">
        <v>16</v>
      </c>
      <c r="AN35" s="2">
        <v>25807</v>
      </c>
      <c r="AO35" s="2">
        <v>35650</v>
      </c>
      <c r="AP35" s="17">
        <v>8207</v>
      </c>
      <c r="AR35" s="4">
        <v>16</v>
      </c>
      <c r="AS35" s="2">
        <v>46104</v>
      </c>
      <c r="AT35" s="2">
        <v>41671</v>
      </c>
      <c r="AU35" s="17">
        <v>9816</v>
      </c>
      <c r="AW35" s="4">
        <v>16</v>
      </c>
      <c r="AX35" s="18"/>
      <c r="AY35" s="18"/>
      <c r="AZ35" s="19"/>
      <c r="BB35" s="2">
        <f t="shared" si="3"/>
        <v>10106</v>
      </c>
      <c r="BC35" s="2">
        <f t="shared" si="4"/>
        <v>24756</v>
      </c>
      <c r="BD35" s="2">
        <f t="shared" si="5"/>
        <v>-3546</v>
      </c>
    </row>
    <row r="36" spans="2:56" x14ac:dyDescent="0.25">
      <c r="B36" s="4">
        <v>16</v>
      </c>
      <c r="C36" s="52"/>
      <c r="D36" s="52"/>
      <c r="E36" s="52"/>
      <c r="G36" s="4">
        <v>16</v>
      </c>
      <c r="H36" s="2">
        <v>2711</v>
      </c>
      <c r="I36" s="2">
        <v>9388</v>
      </c>
      <c r="J36" s="2">
        <v>2943</v>
      </c>
      <c r="L36" s="4">
        <v>16</v>
      </c>
      <c r="M36" s="2">
        <v>1994</v>
      </c>
      <c r="N36" s="2">
        <v>6922</v>
      </c>
      <c r="O36" s="2">
        <v>2479</v>
      </c>
      <c r="T36" s="4">
        <v>16</v>
      </c>
      <c r="U36" s="2">
        <v>9342</v>
      </c>
      <c r="V36" s="2">
        <v>16754</v>
      </c>
      <c r="W36" s="2">
        <v>4325</v>
      </c>
      <c r="Y36" s="4">
        <v>16</v>
      </c>
      <c r="Z36" s="2">
        <v>17254</v>
      </c>
      <c r="AA36" s="2">
        <v>20346</v>
      </c>
      <c r="AB36" s="2">
        <v>5775</v>
      </c>
      <c r="AD36" s="4">
        <v>16</v>
      </c>
      <c r="AE36" s="43">
        <v>1703</v>
      </c>
      <c r="AF36" s="43">
        <v>5264</v>
      </c>
      <c r="AG36" s="43">
        <v>1682</v>
      </c>
      <c r="AI36" s="2">
        <f t="shared" si="1"/>
        <v>9342</v>
      </c>
      <c r="AJ36" s="2">
        <f t="shared" si="2"/>
        <v>14543</v>
      </c>
      <c r="AK36" s="2">
        <f t="shared" si="0"/>
        <v>-291</v>
      </c>
      <c r="AM36" s="4">
        <v>16</v>
      </c>
      <c r="AN36" s="2">
        <v>21651</v>
      </c>
      <c r="AO36" s="2">
        <v>27904</v>
      </c>
      <c r="AP36" s="17">
        <v>6375</v>
      </c>
      <c r="AR36" s="4">
        <v>16</v>
      </c>
      <c r="AS36" s="2">
        <v>40142</v>
      </c>
      <c r="AT36" s="2">
        <v>33438</v>
      </c>
      <c r="AU36" s="17">
        <v>8028</v>
      </c>
      <c r="AW36" s="4">
        <v>16</v>
      </c>
      <c r="AX36" s="18"/>
      <c r="AY36" s="18"/>
      <c r="AZ36" s="19"/>
      <c r="BB36" s="2">
        <f t="shared" si="3"/>
        <v>12309</v>
      </c>
      <c r="BC36" s="2">
        <f t="shared" si="4"/>
        <v>22888</v>
      </c>
      <c r="BD36" s="2">
        <f t="shared" si="5"/>
        <v>-1703</v>
      </c>
    </row>
    <row r="37" spans="2:56" x14ac:dyDescent="0.25">
      <c r="B37" s="4">
        <v>17</v>
      </c>
      <c r="C37" s="51">
        <v>3018</v>
      </c>
      <c r="D37" s="51">
        <v>8672</v>
      </c>
      <c r="E37" s="51">
        <v>2607</v>
      </c>
      <c r="G37" s="4">
        <v>17</v>
      </c>
      <c r="H37" s="2">
        <v>4756</v>
      </c>
      <c r="I37" s="2">
        <v>11978</v>
      </c>
      <c r="J37" s="2">
        <v>3860</v>
      </c>
      <c r="L37" s="4">
        <v>17</v>
      </c>
      <c r="M37" s="2">
        <v>3002</v>
      </c>
      <c r="N37" s="2">
        <v>10513</v>
      </c>
      <c r="O37" s="2">
        <v>3763</v>
      </c>
      <c r="T37" s="4">
        <v>17</v>
      </c>
      <c r="U37" s="2">
        <v>5831</v>
      </c>
      <c r="V37" s="2">
        <v>12870</v>
      </c>
      <c r="W37" s="2">
        <v>4230</v>
      </c>
      <c r="Y37" s="4">
        <v>17</v>
      </c>
      <c r="Z37" s="2">
        <v>14756</v>
      </c>
      <c r="AA37" s="2">
        <v>20091</v>
      </c>
      <c r="AB37" s="2">
        <v>5915</v>
      </c>
      <c r="AD37" s="4">
        <v>17</v>
      </c>
      <c r="AE37" s="2">
        <v>5711</v>
      </c>
      <c r="AF37" s="2">
        <v>13848</v>
      </c>
      <c r="AG37" s="2">
        <v>4957</v>
      </c>
      <c r="AI37" s="2">
        <f t="shared" si="1"/>
        <v>2813</v>
      </c>
      <c r="AJ37" s="2">
        <f t="shared" si="2"/>
        <v>10000</v>
      </c>
      <c r="AK37" s="2">
        <f t="shared" si="0"/>
        <v>2709</v>
      </c>
      <c r="AM37" s="4">
        <v>17</v>
      </c>
      <c r="AN37" s="2">
        <v>8209</v>
      </c>
      <c r="AO37" s="2">
        <v>16728</v>
      </c>
      <c r="AP37" s="17">
        <v>4560</v>
      </c>
      <c r="AR37" s="4">
        <v>17</v>
      </c>
      <c r="AS37" s="2">
        <v>23336</v>
      </c>
      <c r="AT37" s="2">
        <v>24643</v>
      </c>
      <c r="AU37" s="17">
        <v>6329</v>
      </c>
      <c r="AW37" s="4">
        <v>17</v>
      </c>
      <c r="AX37" s="2">
        <v>3180</v>
      </c>
      <c r="AY37" s="2">
        <v>7222</v>
      </c>
      <c r="AZ37" s="17">
        <v>2113</v>
      </c>
      <c r="BB37" s="2">
        <f t="shared" si="3"/>
        <v>2378</v>
      </c>
      <c r="BC37" s="2">
        <f t="shared" si="4"/>
        <v>8580</v>
      </c>
      <c r="BD37" s="2">
        <f t="shared" si="5"/>
        <v>-2531</v>
      </c>
    </row>
    <row r="38" spans="2:56" x14ac:dyDescent="0.25">
      <c r="B38" s="4">
        <v>17</v>
      </c>
      <c r="C38" s="52"/>
      <c r="D38" s="52"/>
      <c r="E38" s="52"/>
      <c r="G38" s="4">
        <v>17</v>
      </c>
      <c r="H38" s="2">
        <v>2877</v>
      </c>
      <c r="I38" s="2">
        <v>8030</v>
      </c>
      <c r="J38" s="2">
        <v>2744</v>
      </c>
      <c r="L38" s="4">
        <v>17</v>
      </c>
      <c r="M38" s="2">
        <v>1530</v>
      </c>
      <c r="N38" s="2">
        <v>5993</v>
      </c>
      <c r="O38" s="2">
        <v>1713</v>
      </c>
      <c r="T38" s="4">
        <v>17</v>
      </c>
      <c r="U38" s="2">
        <v>3514</v>
      </c>
      <c r="V38" s="2">
        <v>7890</v>
      </c>
      <c r="W38" s="2">
        <v>2042</v>
      </c>
      <c r="Y38" s="4">
        <v>17</v>
      </c>
      <c r="Z38" s="2">
        <v>14187</v>
      </c>
      <c r="AA38" s="2">
        <v>15337</v>
      </c>
      <c r="AB38" s="2">
        <v>4967</v>
      </c>
      <c r="AD38" s="4">
        <v>17</v>
      </c>
      <c r="AE38" s="2">
        <v>3190</v>
      </c>
      <c r="AF38" s="2">
        <v>7929</v>
      </c>
      <c r="AG38" s="2">
        <v>2071</v>
      </c>
      <c r="AI38" s="2">
        <f t="shared" si="1"/>
        <v>3514</v>
      </c>
      <c r="AJ38" s="2">
        <f t="shared" si="2"/>
        <v>11310</v>
      </c>
      <c r="AK38" s="2">
        <f t="shared" si="0"/>
        <v>1660</v>
      </c>
      <c r="AM38" s="4">
        <v>17</v>
      </c>
      <c r="AN38" s="2">
        <v>5337</v>
      </c>
      <c r="AO38" s="2">
        <v>13736</v>
      </c>
      <c r="AP38" s="17">
        <v>3771</v>
      </c>
      <c r="AR38" s="4">
        <v>17</v>
      </c>
      <c r="AS38" s="2">
        <v>20955</v>
      </c>
      <c r="AT38" s="2">
        <v>20693</v>
      </c>
      <c r="AU38" s="17">
        <v>6046</v>
      </c>
      <c r="AW38" s="4">
        <v>17</v>
      </c>
      <c r="AX38" s="2">
        <v>3151</v>
      </c>
      <c r="AY38" s="2">
        <v>7483</v>
      </c>
      <c r="AZ38" s="17">
        <v>2040</v>
      </c>
      <c r="BB38" s="2">
        <f t="shared" si="3"/>
        <v>1823</v>
      </c>
      <c r="BC38" s="2">
        <f t="shared" si="4"/>
        <v>6768</v>
      </c>
      <c r="BD38" s="2">
        <f t="shared" si="5"/>
        <v>-39</v>
      </c>
    </row>
    <row r="39" spans="2:56" x14ac:dyDescent="0.25">
      <c r="B39" s="4">
        <v>18</v>
      </c>
      <c r="C39" s="51">
        <v>3815</v>
      </c>
      <c r="D39" s="51">
        <v>10277</v>
      </c>
      <c r="E39" s="51">
        <v>3213</v>
      </c>
      <c r="G39" s="4">
        <v>18</v>
      </c>
      <c r="H39" s="2">
        <v>5717</v>
      </c>
      <c r="I39" s="2">
        <v>14452</v>
      </c>
      <c r="J39" s="2">
        <v>4589</v>
      </c>
      <c r="L39" s="4">
        <v>18</v>
      </c>
      <c r="M39" s="2">
        <v>2657</v>
      </c>
      <c r="N39" s="2">
        <v>10076</v>
      </c>
      <c r="O39" s="2">
        <v>2407</v>
      </c>
      <c r="T39" s="4">
        <v>18</v>
      </c>
      <c r="U39" s="2">
        <v>8923</v>
      </c>
      <c r="V39" s="2">
        <v>14189</v>
      </c>
      <c r="W39" s="2">
        <v>4541</v>
      </c>
      <c r="Y39" s="4">
        <v>18</v>
      </c>
      <c r="Z39" s="2">
        <v>14120</v>
      </c>
      <c r="AA39" s="2">
        <v>21487</v>
      </c>
      <c r="AB39" s="2">
        <v>6864</v>
      </c>
      <c r="AD39" s="4">
        <v>18</v>
      </c>
      <c r="AE39" s="2">
        <v>3147</v>
      </c>
      <c r="AF39" s="2">
        <v>7781</v>
      </c>
      <c r="AG39" s="2">
        <v>2102</v>
      </c>
      <c r="AI39" s="2">
        <f t="shared" si="1"/>
        <v>5108</v>
      </c>
      <c r="AJ39" s="2">
        <f t="shared" si="2"/>
        <v>8403</v>
      </c>
      <c r="AK39" s="2">
        <f t="shared" si="0"/>
        <v>490</v>
      </c>
      <c r="AM39" s="4">
        <v>18</v>
      </c>
      <c r="AN39" s="2">
        <v>17476</v>
      </c>
      <c r="AO39" s="2">
        <v>32332</v>
      </c>
      <c r="AP39" s="17">
        <v>6958</v>
      </c>
      <c r="AR39" s="4">
        <v>18</v>
      </c>
      <c r="AS39" s="2">
        <v>30742</v>
      </c>
      <c r="AT39" s="2">
        <v>37371</v>
      </c>
      <c r="AU39" s="17">
        <v>9265</v>
      </c>
      <c r="AW39" s="4">
        <v>18</v>
      </c>
      <c r="AX39" s="2">
        <v>4631</v>
      </c>
      <c r="AY39" s="2">
        <v>9817</v>
      </c>
      <c r="AZ39" s="17">
        <v>3099</v>
      </c>
      <c r="BB39" s="2">
        <f t="shared" si="3"/>
        <v>8553</v>
      </c>
      <c r="BC39" s="2">
        <f t="shared" si="4"/>
        <v>16622</v>
      </c>
      <c r="BD39" s="2">
        <f t="shared" si="5"/>
        <v>1484</v>
      </c>
    </row>
    <row r="40" spans="2:56" x14ac:dyDescent="0.25">
      <c r="B40" s="4">
        <v>18</v>
      </c>
      <c r="C40" s="52"/>
      <c r="D40" s="52"/>
      <c r="E40" s="52"/>
      <c r="G40" s="4">
        <v>18</v>
      </c>
      <c r="H40" s="2">
        <v>3787</v>
      </c>
      <c r="I40" s="2">
        <v>10248</v>
      </c>
      <c r="J40" s="2">
        <v>3099</v>
      </c>
      <c r="L40" s="4">
        <v>18</v>
      </c>
      <c r="M40" s="2">
        <v>1825</v>
      </c>
      <c r="N40" s="2">
        <v>7482</v>
      </c>
      <c r="O40" s="2">
        <v>2862</v>
      </c>
      <c r="T40" s="4">
        <v>18</v>
      </c>
      <c r="U40" s="2">
        <v>5190</v>
      </c>
      <c r="V40" s="2">
        <v>10433</v>
      </c>
      <c r="W40" s="2">
        <v>2316</v>
      </c>
      <c r="Y40" s="4">
        <v>18</v>
      </c>
      <c r="Z40" s="2">
        <v>14661</v>
      </c>
      <c r="AA40" s="2">
        <v>19138</v>
      </c>
      <c r="AB40" s="2">
        <v>5068</v>
      </c>
      <c r="AD40" s="4">
        <v>18</v>
      </c>
      <c r="AE40" s="2">
        <v>2597</v>
      </c>
      <c r="AF40" s="2">
        <v>7184</v>
      </c>
      <c r="AG40" s="2">
        <v>2016</v>
      </c>
      <c r="AI40" s="2">
        <f t="shared" si="1"/>
        <v>5190</v>
      </c>
      <c r="AJ40" s="2">
        <f t="shared" si="2"/>
        <v>10874</v>
      </c>
      <c r="AK40" s="2">
        <f t="shared" si="0"/>
        <v>772</v>
      </c>
      <c r="AM40" s="4">
        <v>18</v>
      </c>
      <c r="AN40" s="2">
        <v>13499</v>
      </c>
      <c r="AO40" s="2">
        <v>20937</v>
      </c>
      <c r="AP40" s="17">
        <v>4700</v>
      </c>
      <c r="AR40" s="4">
        <v>18</v>
      </c>
      <c r="AS40" s="2">
        <v>27426</v>
      </c>
      <c r="AT40" s="2">
        <v>26122</v>
      </c>
      <c r="AU40" s="17">
        <v>7249</v>
      </c>
      <c r="AW40" s="4">
        <v>18</v>
      </c>
      <c r="AX40" s="2">
        <v>1536</v>
      </c>
      <c r="AY40" s="2">
        <v>5424</v>
      </c>
      <c r="AZ40" s="17">
        <v>1847</v>
      </c>
      <c r="BB40" s="2">
        <f t="shared" si="3"/>
        <v>8309</v>
      </c>
      <c r="BC40" s="2">
        <f t="shared" si="4"/>
        <v>12765</v>
      </c>
      <c r="BD40" s="2">
        <f t="shared" si="5"/>
        <v>-1061</v>
      </c>
    </row>
    <row r="41" spans="2:56" x14ac:dyDescent="0.25">
      <c r="B41" s="4">
        <v>19</v>
      </c>
      <c r="C41" s="51">
        <v>3837</v>
      </c>
      <c r="D41" s="51">
        <v>9228</v>
      </c>
      <c r="E41" s="51">
        <v>3079</v>
      </c>
      <c r="G41" s="4">
        <v>19</v>
      </c>
      <c r="H41" s="2">
        <v>5697</v>
      </c>
      <c r="I41" s="2">
        <v>14189</v>
      </c>
      <c r="J41" s="2">
        <v>4531</v>
      </c>
      <c r="L41" s="4">
        <v>19</v>
      </c>
      <c r="M41" s="2">
        <v>2835</v>
      </c>
      <c r="N41" s="2">
        <v>10712</v>
      </c>
      <c r="O41" s="2">
        <v>2818</v>
      </c>
      <c r="T41" s="4">
        <v>19</v>
      </c>
      <c r="U41" s="2">
        <v>6612</v>
      </c>
      <c r="V41" s="2">
        <v>12866</v>
      </c>
      <c r="W41" s="2">
        <v>3933</v>
      </c>
      <c r="Y41" s="4">
        <v>19</v>
      </c>
      <c r="Z41" s="2">
        <v>23153</v>
      </c>
      <c r="AA41" s="2">
        <v>28100</v>
      </c>
      <c r="AB41" s="2">
        <v>8111</v>
      </c>
      <c r="AD41" s="4">
        <v>19</v>
      </c>
      <c r="AE41" s="2">
        <v>4238</v>
      </c>
      <c r="AF41" s="2">
        <v>10546</v>
      </c>
      <c r="AG41" s="2">
        <v>3051</v>
      </c>
      <c r="AI41" s="2">
        <f t="shared" si="1"/>
        <v>2775</v>
      </c>
      <c r="AJ41" s="2">
        <f t="shared" si="2"/>
        <v>17456</v>
      </c>
      <c r="AK41" s="2">
        <f t="shared" si="0"/>
        <v>1403</v>
      </c>
      <c r="AM41" s="4">
        <v>19</v>
      </c>
      <c r="AN41" s="2">
        <v>12027</v>
      </c>
      <c r="AO41" s="2">
        <v>20257</v>
      </c>
      <c r="AP41" s="17">
        <v>4484</v>
      </c>
      <c r="AR41" s="4">
        <v>19</v>
      </c>
      <c r="AS41" s="2">
        <v>42693</v>
      </c>
      <c r="AT41" s="2">
        <v>41628</v>
      </c>
      <c r="AU41" s="17">
        <v>9993</v>
      </c>
      <c r="AW41" s="4">
        <v>19</v>
      </c>
      <c r="AX41" s="2">
        <v>7723</v>
      </c>
      <c r="AY41" s="2">
        <v>11902</v>
      </c>
      <c r="AZ41" s="17">
        <v>4093</v>
      </c>
      <c r="BB41" s="2">
        <f t="shared" si="3"/>
        <v>5415</v>
      </c>
      <c r="BC41" s="2">
        <f t="shared" si="4"/>
        <v>19540</v>
      </c>
      <c r="BD41" s="2">
        <f t="shared" si="5"/>
        <v>3485</v>
      </c>
    </row>
    <row r="42" spans="2:56" x14ac:dyDescent="0.25">
      <c r="B42" s="4">
        <v>19</v>
      </c>
      <c r="C42" s="52"/>
      <c r="D42" s="52"/>
      <c r="E42" s="52"/>
      <c r="G42" s="4">
        <v>19</v>
      </c>
      <c r="H42" s="2">
        <v>2986</v>
      </c>
      <c r="I42" s="2">
        <v>7255</v>
      </c>
      <c r="J42" s="2">
        <v>2622</v>
      </c>
      <c r="L42" s="4">
        <v>19</v>
      </c>
      <c r="M42" s="2">
        <v>2489</v>
      </c>
      <c r="N42" s="2">
        <v>9250</v>
      </c>
      <c r="O42" s="2">
        <v>2641</v>
      </c>
      <c r="T42" s="4">
        <v>19</v>
      </c>
      <c r="U42" s="2">
        <v>4925</v>
      </c>
      <c r="V42" s="2">
        <v>10638</v>
      </c>
      <c r="W42" s="2">
        <v>2777</v>
      </c>
      <c r="Y42" s="4">
        <v>19</v>
      </c>
      <c r="Z42" s="2">
        <v>15776</v>
      </c>
      <c r="AA42" s="2">
        <v>17149</v>
      </c>
      <c r="AB42" s="2">
        <v>5139</v>
      </c>
      <c r="AD42" s="4">
        <v>19</v>
      </c>
      <c r="AE42" s="2">
        <v>1889</v>
      </c>
      <c r="AF42" s="2">
        <v>6371</v>
      </c>
      <c r="AG42" s="2">
        <v>2111</v>
      </c>
      <c r="AI42" s="2">
        <f t="shared" si="1"/>
        <v>4925</v>
      </c>
      <c r="AJ42" s="2">
        <f t="shared" si="2"/>
        <v>12790</v>
      </c>
      <c r="AK42" s="2">
        <f t="shared" si="0"/>
        <v>-600</v>
      </c>
      <c r="AM42" s="4">
        <v>19</v>
      </c>
      <c r="AN42" s="2">
        <v>12203</v>
      </c>
      <c r="AO42" s="2">
        <v>22715</v>
      </c>
      <c r="AP42" s="17">
        <v>4730</v>
      </c>
      <c r="AR42" s="4">
        <v>19</v>
      </c>
      <c r="AS42" s="2">
        <v>32922</v>
      </c>
      <c r="AT42" s="2">
        <v>29905</v>
      </c>
      <c r="AU42" s="17">
        <v>6871</v>
      </c>
      <c r="AW42" s="4">
        <v>19</v>
      </c>
      <c r="AX42" s="2">
        <v>6354</v>
      </c>
      <c r="AY42" s="2">
        <v>10067</v>
      </c>
      <c r="AZ42" s="17">
        <v>3473</v>
      </c>
      <c r="BB42" s="2">
        <f t="shared" si="3"/>
        <v>7278</v>
      </c>
      <c r="BC42" s="2">
        <f t="shared" si="4"/>
        <v>17146</v>
      </c>
      <c r="BD42" s="2">
        <f t="shared" si="5"/>
        <v>4465</v>
      </c>
    </row>
    <row r="43" spans="2:56" x14ac:dyDescent="0.25">
      <c r="B43" s="4">
        <v>20</v>
      </c>
      <c r="C43" s="51">
        <v>2551</v>
      </c>
      <c r="D43" s="51">
        <v>8864</v>
      </c>
      <c r="E43" s="51">
        <v>3130</v>
      </c>
      <c r="G43" s="4">
        <v>20</v>
      </c>
      <c r="H43" s="2">
        <v>4588</v>
      </c>
      <c r="I43" s="2">
        <v>11157</v>
      </c>
      <c r="J43" s="2">
        <v>3191</v>
      </c>
      <c r="L43" s="4">
        <v>20</v>
      </c>
      <c r="M43" s="2">
        <v>3668</v>
      </c>
      <c r="N43" s="2">
        <v>8968</v>
      </c>
      <c r="O43" s="2">
        <v>2920</v>
      </c>
      <c r="T43" s="4">
        <v>20</v>
      </c>
      <c r="Y43" s="4">
        <v>20</v>
      </c>
      <c r="Z43" s="2">
        <v>19776</v>
      </c>
      <c r="AA43" s="2">
        <v>24774</v>
      </c>
      <c r="AB43" s="2">
        <v>5861</v>
      </c>
      <c r="AD43" s="4">
        <v>20</v>
      </c>
      <c r="AE43" s="2">
        <v>9166</v>
      </c>
      <c r="AF43" s="2">
        <v>16334</v>
      </c>
      <c r="AG43" s="2">
        <v>4370</v>
      </c>
      <c r="AI43" s="2">
        <f t="shared" si="1"/>
        <v>-2551</v>
      </c>
      <c r="AJ43" s="2">
        <f t="shared" si="2"/>
        <v>15188</v>
      </c>
      <c r="AK43" s="2">
        <f t="shared" si="0"/>
        <v>5498</v>
      </c>
      <c r="AM43" s="4">
        <v>20</v>
      </c>
      <c r="AR43" s="4">
        <v>20</v>
      </c>
      <c r="AS43" s="2">
        <v>37846</v>
      </c>
      <c r="AT43" s="2">
        <v>33117</v>
      </c>
      <c r="AU43" s="17">
        <v>8013</v>
      </c>
      <c r="AW43" s="4">
        <v>20</v>
      </c>
      <c r="AX43" s="18"/>
      <c r="AY43" s="18"/>
      <c r="AZ43" s="19"/>
      <c r="BB43" s="2">
        <f t="shared" si="3"/>
        <v>0</v>
      </c>
      <c r="BC43" s="2">
        <f t="shared" si="4"/>
        <v>18070</v>
      </c>
      <c r="BD43" s="2">
        <f t="shared" si="5"/>
        <v>-9166</v>
      </c>
    </row>
    <row r="44" spans="2:56" x14ac:dyDescent="0.25">
      <c r="L44" s="4">
        <v>20</v>
      </c>
      <c r="M44" s="2">
        <v>1419</v>
      </c>
      <c r="N44" s="2">
        <v>5721</v>
      </c>
      <c r="T44" s="4">
        <v>20</v>
      </c>
      <c r="Y44" s="4">
        <v>20</v>
      </c>
      <c r="Z44" s="2">
        <v>18583</v>
      </c>
      <c r="AA44" s="2">
        <v>26419</v>
      </c>
      <c r="AB44" s="2">
        <v>6336</v>
      </c>
      <c r="AD44" s="4">
        <v>20</v>
      </c>
      <c r="AE44" s="2">
        <v>9244</v>
      </c>
      <c r="AF44" s="2">
        <v>16961</v>
      </c>
      <c r="AG44" s="2">
        <v>3918</v>
      </c>
      <c r="AI44" s="2">
        <f>U44-C44</f>
        <v>0</v>
      </c>
      <c r="AJ44" s="2">
        <f t="shared" si="2"/>
        <v>18583</v>
      </c>
      <c r="AK44" s="2">
        <f t="shared" si="0"/>
        <v>7825</v>
      </c>
      <c r="AM44" s="4">
        <v>20</v>
      </c>
      <c r="AR44" s="4">
        <v>20</v>
      </c>
      <c r="AS44" s="2">
        <v>36313</v>
      </c>
      <c r="AT44" s="2">
        <v>41667</v>
      </c>
      <c r="AU44" s="17">
        <v>8236</v>
      </c>
      <c r="AW44" s="4">
        <v>20</v>
      </c>
      <c r="AX44" s="18"/>
      <c r="AY44" s="18"/>
      <c r="AZ44" s="19"/>
      <c r="BB44" s="2">
        <f t="shared" si="3"/>
        <v>0</v>
      </c>
      <c r="BC44" s="2">
        <f t="shared" si="4"/>
        <v>17730</v>
      </c>
      <c r="BD44" s="2">
        <f t="shared" si="5"/>
        <v>-9244</v>
      </c>
    </row>
    <row r="45" spans="2:56" x14ac:dyDescent="0.25">
      <c r="AI45" s="2">
        <f t="shared" si="1"/>
        <v>0</v>
      </c>
      <c r="AJ45" s="2">
        <f t="shared" si="2"/>
        <v>0</v>
      </c>
      <c r="AK45" s="2">
        <f t="shared" si="0"/>
        <v>0</v>
      </c>
    </row>
    <row r="46" spans="2:56" x14ac:dyDescent="0.25">
      <c r="AJ46" s="2">
        <f t="shared" ref="AJ46" si="6">Z47-H47</f>
        <v>0</v>
      </c>
      <c r="AK46" s="2">
        <f t="shared" ref="AK46" si="7">AE47-M47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EFAB-ED6F-9A49-8BF2-1D3DC62E4E89}">
  <dimension ref="A1:HU55"/>
  <sheetViews>
    <sheetView zoomScaleNormal="100" workbookViewId="0">
      <selection activeCell="B2" sqref="B2"/>
    </sheetView>
  </sheetViews>
  <sheetFormatPr defaultColWidth="11" defaultRowHeight="15.75" x14ac:dyDescent="0.25"/>
  <sheetData>
    <row r="1" spans="1:229" ht="16.5" thickBot="1" x14ac:dyDescent="0.3">
      <c r="A1" t="s">
        <v>29</v>
      </c>
      <c r="BZ1" t="s">
        <v>30</v>
      </c>
      <c r="EY1" t="s">
        <v>29</v>
      </c>
    </row>
    <row r="2" spans="1:229" ht="23.25" x14ac:dyDescent="0.35">
      <c r="A2" s="23"/>
      <c r="B2" s="5" t="s">
        <v>0</v>
      </c>
      <c r="C2" s="6"/>
      <c r="D2" s="6"/>
      <c r="E2" s="7"/>
      <c r="G2" s="8" t="s">
        <v>5</v>
      </c>
      <c r="H2" s="9"/>
      <c r="I2" s="9"/>
      <c r="J2" s="10"/>
      <c r="L2" s="8" t="s">
        <v>6</v>
      </c>
      <c r="M2" s="9"/>
      <c r="N2" s="9"/>
      <c r="O2" s="10"/>
      <c r="Q2" s="11" t="s">
        <v>7</v>
      </c>
      <c r="R2" s="11"/>
      <c r="S2" s="11"/>
      <c r="T2" s="11"/>
      <c r="V2" s="8" t="s">
        <v>8</v>
      </c>
      <c r="W2" s="9"/>
      <c r="X2" s="9"/>
      <c r="Y2" s="10"/>
      <c r="AA2" s="8" t="s">
        <v>9</v>
      </c>
      <c r="AB2" s="9"/>
      <c r="AC2" s="9"/>
      <c r="AD2" s="10"/>
      <c r="AF2" s="8" t="s">
        <v>10</v>
      </c>
      <c r="AG2" s="9"/>
      <c r="AH2" s="9"/>
      <c r="AI2" s="10"/>
      <c r="AK2" s="8" t="s">
        <v>11</v>
      </c>
      <c r="AL2" s="9"/>
      <c r="AM2" s="9"/>
      <c r="AN2" s="10"/>
      <c r="AP2" s="40" t="s">
        <v>12</v>
      </c>
      <c r="AQ2" s="41"/>
      <c r="AR2" s="41"/>
      <c r="AS2" s="42"/>
      <c r="AU2" s="8" t="s">
        <v>13</v>
      </c>
      <c r="AV2" s="9"/>
      <c r="AW2" s="9"/>
      <c r="AX2" s="10"/>
      <c r="AZ2" s="12" t="s">
        <v>20</v>
      </c>
      <c r="BA2" s="13"/>
      <c r="BB2" s="13"/>
      <c r="BC2" s="14"/>
      <c r="BE2" s="8" t="s">
        <v>14</v>
      </c>
      <c r="BF2" s="9"/>
      <c r="BG2" s="9"/>
      <c r="BH2" s="10"/>
      <c r="BJ2" s="8" t="s">
        <v>15</v>
      </c>
      <c r="BK2" s="9"/>
      <c r="BL2" s="9"/>
      <c r="BM2" s="10"/>
      <c r="BO2" s="11" t="s">
        <v>16</v>
      </c>
      <c r="BP2" s="11"/>
      <c r="BQ2" s="11"/>
      <c r="BR2" s="11"/>
      <c r="BT2" s="8" t="s">
        <v>17</v>
      </c>
      <c r="BU2" s="9"/>
      <c r="BV2" s="9"/>
      <c r="BW2" s="10"/>
      <c r="BZ2" s="23"/>
      <c r="CA2" s="5" t="s">
        <v>0</v>
      </c>
      <c r="CB2" s="6"/>
      <c r="CC2" s="6"/>
      <c r="CD2" s="7"/>
      <c r="CF2" s="8" t="s">
        <v>5</v>
      </c>
      <c r="CG2" s="9"/>
      <c r="CH2" s="9"/>
      <c r="CI2" s="10"/>
      <c r="CK2" s="8" t="s">
        <v>6</v>
      </c>
      <c r="CL2" s="9"/>
      <c r="CM2" s="9"/>
      <c r="CN2" s="10"/>
      <c r="CP2" s="11" t="s">
        <v>7</v>
      </c>
      <c r="CQ2" s="11"/>
      <c r="CR2" s="11"/>
      <c r="CS2" s="11"/>
      <c r="CU2" s="8" t="s">
        <v>8</v>
      </c>
      <c r="CV2" s="9"/>
      <c r="CW2" s="9"/>
      <c r="CX2" s="10"/>
      <c r="CZ2" s="8" t="s">
        <v>9</v>
      </c>
      <c r="DA2" s="9"/>
      <c r="DB2" s="9"/>
      <c r="DC2" s="10"/>
      <c r="DE2" s="8" t="s">
        <v>10</v>
      </c>
      <c r="DF2" s="9"/>
      <c r="DG2" s="9"/>
      <c r="DH2" s="10"/>
      <c r="DJ2" s="8" t="s">
        <v>11</v>
      </c>
      <c r="DK2" s="9"/>
      <c r="DL2" s="9"/>
      <c r="DM2" s="10"/>
      <c r="DO2" s="40" t="s">
        <v>12</v>
      </c>
      <c r="DP2" s="41"/>
      <c r="DQ2" s="41"/>
      <c r="DR2" s="42"/>
      <c r="DT2" s="8" t="s">
        <v>13</v>
      </c>
      <c r="DU2" s="9"/>
      <c r="DV2" s="9"/>
      <c r="DW2" s="10"/>
      <c r="DY2" s="12" t="s">
        <v>20</v>
      </c>
      <c r="DZ2" s="13"/>
      <c r="EA2" s="13"/>
      <c r="EB2" s="14"/>
      <c r="ED2" s="8" t="s">
        <v>14</v>
      </c>
      <c r="EE2" s="9"/>
      <c r="EF2" s="9"/>
      <c r="EG2" s="10"/>
      <c r="EI2" s="8" t="s">
        <v>15</v>
      </c>
      <c r="EJ2" s="9"/>
      <c r="EK2" s="9"/>
      <c r="EL2" s="10"/>
      <c r="EN2" s="11" t="s">
        <v>16</v>
      </c>
      <c r="EO2" s="11"/>
      <c r="EP2" s="11"/>
      <c r="EQ2" s="11"/>
      <c r="ES2" s="8" t="s">
        <v>17</v>
      </c>
      <c r="ET2" s="9"/>
      <c r="EU2" s="9"/>
      <c r="EV2" s="10"/>
      <c r="EY2" s="61"/>
      <c r="EZ2" s="62" t="s">
        <v>0</v>
      </c>
      <c r="FA2" s="63"/>
      <c r="FB2" s="63"/>
      <c r="FC2" s="64"/>
      <c r="FD2" s="65"/>
      <c r="FE2" s="66" t="s">
        <v>5</v>
      </c>
      <c r="FF2" s="67"/>
      <c r="FG2" s="67"/>
      <c r="FH2" s="68"/>
      <c r="FI2" s="69"/>
      <c r="FJ2" s="66" t="s">
        <v>6</v>
      </c>
      <c r="FK2" s="67"/>
      <c r="FL2" s="67"/>
      <c r="FM2" s="68"/>
      <c r="FN2" s="70"/>
      <c r="FO2" s="71" t="s">
        <v>7</v>
      </c>
      <c r="FP2" s="72"/>
      <c r="FQ2" s="72"/>
      <c r="FR2" s="73"/>
      <c r="FS2" s="70"/>
      <c r="FT2" s="66" t="s">
        <v>8</v>
      </c>
      <c r="FU2" s="67"/>
      <c r="FV2" s="67"/>
      <c r="FW2" s="68"/>
      <c r="FX2" s="69"/>
      <c r="FY2" s="66" t="s">
        <v>9</v>
      </c>
      <c r="FZ2" s="67"/>
      <c r="GA2" s="67"/>
      <c r="GB2" s="68"/>
      <c r="GC2" s="69"/>
      <c r="GD2" s="66" t="s">
        <v>10</v>
      </c>
      <c r="GE2" s="67"/>
      <c r="GF2" s="67"/>
      <c r="GG2" s="68"/>
      <c r="GH2" s="69"/>
      <c r="GI2" s="66" t="s">
        <v>11</v>
      </c>
      <c r="GJ2" s="67"/>
      <c r="GK2" s="67"/>
      <c r="GL2" s="68"/>
      <c r="GM2" s="69"/>
      <c r="GN2" s="74" t="s">
        <v>12</v>
      </c>
      <c r="GO2" s="75"/>
      <c r="GP2" s="75"/>
      <c r="GQ2" s="76"/>
      <c r="GR2" s="77"/>
      <c r="GS2" s="66" t="s">
        <v>13</v>
      </c>
      <c r="GT2" s="67"/>
      <c r="GU2" s="67"/>
      <c r="GV2" s="68"/>
      <c r="GW2" s="69"/>
      <c r="GX2" s="66" t="s">
        <v>31</v>
      </c>
      <c r="GY2" s="78"/>
      <c r="GZ2" s="78"/>
      <c r="HA2" s="79"/>
      <c r="HB2" s="80"/>
      <c r="HC2" s="66" t="s">
        <v>14</v>
      </c>
      <c r="HD2" s="67"/>
      <c r="HE2" s="67"/>
      <c r="HF2" s="68"/>
      <c r="HG2" s="69"/>
      <c r="HH2" s="66" t="s">
        <v>15</v>
      </c>
      <c r="HI2" s="67"/>
      <c r="HJ2" s="67"/>
      <c r="HK2" s="68"/>
      <c r="HL2" s="70"/>
      <c r="HM2" s="71" t="s">
        <v>16</v>
      </c>
      <c r="HN2" s="72"/>
      <c r="HO2" s="72"/>
      <c r="HP2" s="73"/>
      <c r="HQ2" s="70"/>
      <c r="HR2" s="66" t="s">
        <v>17</v>
      </c>
      <c r="HS2" s="67"/>
      <c r="HT2" s="67"/>
      <c r="HU2" s="68"/>
    </row>
    <row r="3" spans="1:229" x14ac:dyDescent="0.25">
      <c r="A3" t="s">
        <v>23</v>
      </c>
      <c r="B3" s="1" t="s">
        <v>1</v>
      </c>
      <c r="C3" s="1" t="s">
        <v>2</v>
      </c>
      <c r="D3" s="1" t="s">
        <v>3</v>
      </c>
      <c r="E3" s="1" t="s">
        <v>4</v>
      </c>
      <c r="G3" s="1" t="s">
        <v>1</v>
      </c>
      <c r="H3" s="1" t="s">
        <v>2</v>
      </c>
      <c r="I3" s="1" t="s">
        <v>3</v>
      </c>
      <c r="J3" s="1" t="s">
        <v>4</v>
      </c>
      <c r="L3" s="1" t="s">
        <v>1</v>
      </c>
      <c r="M3" s="1" t="s">
        <v>2</v>
      </c>
      <c r="N3" s="1" t="s">
        <v>3</v>
      </c>
      <c r="O3" s="1" t="s">
        <v>4</v>
      </c>
      <c r="Q3" s="1" t="s">
        <v>1</v>
      </c>
      <c r="R3" s="1" t="s">
        <v>2</v>
      </c>
      <c r="S3" s="1" t="s">
        <v>3</v>
      </c>
      <c r="T3" s="1" t="s">
        <v>4</v>
      </c>
      <c r="V3" s="1" t="s">
        <v>1</v>
      </c>
      <c r="W3" s="1" t="s">
        <v>2</v>
      </c>
      <c r="X3" s="1" t="s">
        <v>3</v>
      </c>
      <c r="Y3" s="1" t="s">
        <v>4</v>
      </c>
      <c r="AA3" s="1" t="s">
        <v>1</v>
      </c>
      <c r="AB3" s="1" t="s">
        <v>2</v>
      </c>
      <c r="AC3" s="1" t="s">
        <v>3</v>
      </c>
      <c r="AD3" s="1" t="s">
        <v>4</v>
      </c>
      <c r="AF3" s="1" t="s">
        <v>1</v>
      </c>
      <c r="AG3" s="1" t="s">
        <v>2</v>
      </c>
      <c r="AH3" s="1" t="s">
        <v>3</v>
      </c>
      <c r="AI3" s="1" t="s">
        <v>4</v>
      </c>
      <c r="AK3" s="1" t="s">
        <v>1</v>
      </c>
      <c r="AL3" s="1" t="s">
        <v>2</v>
      </c>
      <c r="AM3" s="1" t="s">
        <v>3</v>
      </c>
      <c r="AN3" s="1" t="s">
        <v>4</v>
      </c>
      <c r="AP3" s="1" t="s">
        <v>1</v>
      </c>
      <c r="AQ3" s="1" t="s">
        <v>2</v>
      </c>
      <c r="AR3" s="1" t="s">
        <v>3</v>
      </c>
      <c r="AS3" s="1" t="s">
        <v>4</v>
      </c>
      <c r="AU3" s="1" t="s">
        <v>1</v>
      </c>
      <c r="AV3" s="1" t="s">
        <v>2</v>
      </c>
      <c r="AW3" s="1" t="s">
        <v>3</v>
      </c>
      <c r="AX3" s="1" t="s">
        <v>4</v>
      </c>
      <c r="AZ3" s="1" t="s">
        <v>1</v>
      </c>
      <c r="BA3" s="1" t="s">
        <v>2</v>
      </c>
      <c r="BB3" s="1" t="s">
        <v>3</v>
      </c>
      <c r="BC3" s="1" t="s">
        <v>4</v>
      </c>
      <c r="BE3" s="1" t="s">
        <v>1</v>
      </c>
      <c r="BF3" s="1" t="s">
        <v>2</v>
      </c>
      <c r="BG3" s="1" t="s">
        <v>3</v>
      </c>
      <c r="BH3" s="1" t="s">
        <v>4</v>
      </c>
      <c r="BJ3" s="1" t="s">
        <v>1</v>
      </c>
      <c r="BK3" s="1" t="s">
        <v>2</v>
      </c>
      <c r="BL3" s="1" t="s">
        <v>3</v>
      </c>
      <c r="BM3" s="1" t="s">
        <v>4</v>
      </c>
      <c r="BO3" s="1" t="s">
        <v>1</v>
      </c>
      <c r="BP3" s="1" t="s">
        <v>2</v>
      </c>
      <c r="BQ3" s="1" t="s">
        <v>3</v>
      </c>
      <c r="BR3" s="1" t="s">
        <v>4</v>
      </c>
      <c r="BT3" s="1" t="s">
        <v>1</v>
      </c>
      <c r="BU3" s="1" t="s">
        <v>2</v>
      </c>
      <c r="BV3" s="1" t="s">
        <v>3</v>
      </c>
      <c r="BW3" s="1" t="s">
        <v>4</v>
      </c>
      <c r="BZ3" t="s">
        <v>23</v>
      </c>
      <c r="CA3" s="1" t="s">
        <v>1</v>
      </c>
      <c r="CB3" s="1" t="s">
        <v>2</v>
      </c>
      <c r="CC3" s="1" t="s">
        <v>3</v>
      </c>
      <c r="CD3" s="1" t="s">
        <v>4</v>
      </c>
      <c r="CF3" s="1" t="s">
        <v>1</v>
      </c>
      <c r="CG3" s="1" t="s">
        <v>2</v>
      </c>
      <c r="CH3" s="1" t="s">
        <v>3</v>
      </c>
      <c r="CI3" s="1" t="s">
        <v>4</v>
      </c>
      <c r="CK3" s="1" t="s">
        <v>1</v>
      </c>
      <c r="CL3" s="1" t="s">
        <v>2</v>
      </c>
      <c r="CM3" s="1" t="s">
        <v>3</v>
      </c>
      <c r="CN3" s="1" t="s">
        <v>4</v>
      </c>
      <c r="CP3" s="1" t="s">
        <v>1</v>
      </c>
      <c r="CQ3" s="1" t="s">
        <v>2</v>
      </c>
      <c r="CR3" s="1" t="s">
        <v>3</v>
      </c>
      <c r="CS3" s="1" t="s">
        <v>4</v>
      </c>
      <c r="CU3" s="1" t="s">
        <v>1</v>
      </c>
      <c r="CV3" s="1" t="s">
        <v>2</v>
      </c>
      <c r="CW3" s="1" t="s">
        <v>3</v>
      </c>
      <c r="CX3" s="1" t="s">
        <v>4</v>
      </c>
      <c r="CZ3" s="1" t="s">
        <v>1</v>
      </c>
      <c r="DA3" s="1" t="s">
        <v>2</v>
      </c>
      <c r="DB3" s="1" t="s">
        <v>3</v>
      </c>
      <c r="DC3" s="1" t="s">
        <v>4</v>
      </c>
      <c r="DE3" s="1" t="s">
        <v>1</v>
      </c>
      <c r="DF3" s="1" t="s">
        <v>2</v>
      </c>
      <c r="DG3" s="1" t="s">
        <v>3</v>
      </c>
      <c r="DH3" s="1" t="s">
        <v>4</v>
      </c>
      <c r="DJ3" s="1" t="s">
        <v>18</v>
      </c>
      <c r="DK3" s="1" t="s">
        <v>2</v>
      </c>
      <c r="DL3" s="1" t="s">
        <v>3</v>
      </c>
      <c r="DM3" s="1" t="s">
        <v>4</v>
      </c>
      <c r="DO3" s="1" t="s">
        <v>18</v>
      </c>
      <c r="DP3" s="1" t="s">
        <v>2</v>
      </c>
      <c r="DQ3" s="1" t="s">
        <v>3</v>
      </c>
      <c r="DR3" s="1" t="s">
        <v>4</v>
      </c>
      <c r="DT3" s="1" t="s">
        <v>1</v>
      </c>
      <c r="DU3" s="1" t="s">
        <v>2</v>
      </c>
      <c r="DV3" s="1" t="s">
        <v>3</v>
      </c>
      <c r="DW3" s="1" t="s">
        <v>4</v>
      </c>
      <c r="DY3" s="1" t="s">
        <v>1</v>
      </c>
      <c r="DZ3" s="1" t="s">
        <v>2</v>
      </c>
      <c r="EA3" s="1" t="s">
        <v>3</v>
      </c>
      <c r="EB3" s="1" t="s">
        <v>4</v>
      </c>
      <c r="ED3" s="1" t="s">
        <v>1</v>
      </c>
      <c r="EE3" s="1" t="s">
        <v>2</v>
      </c>
      <c r="EF3" s="1" t="s">
        <v>3</v>
      </c>
      <c r="EG3" s="1" t="s">
        <v>4</v>
      </c>
      <c r="EI3" s="1" t="s">
        <v>1</v>
      </c>
      <c r="EJ3" s="1" t="s">
        <v>2</v>
      </c>
      <c r="EK3" s="1" t="s">
        <v>3</v>
      </c>
      <c r="EL3" s="1" t="s">
        <v>4</v>
      </c>
      <c r="EN3" s="1" t="s">
        <v>1</v>
      </c>
      <c r="EO3" s="1" t="s">
        <v>2</v>
      </c>
      <c r="EP3" s="1" t="s">
        <v>3</v>
      </c>
      <c r="EQ3" s="1" t="s">
        <v>4</v>
      </c>
      <c r="ES3" s="1" t="s">
        <v>1</v>
      </c>
      <c r="ET3" s="1" t="s">
        <v>2</v>
      </c>
      <c r="EU3" s="1" t="s">
        <v>3</v>
      </c>
      <c r="EV3" s="1" t="s">
        <v>4</v>
      </c>
      <c r="EY3" s="60" t="s">
        <v>21</v>
      </c>
      <c r="EZ3" s="81">
        <v>1</v>
      </c>
      <c r="FA3" s="98">
        <v>9858</v>
      </c>
      <c r="FB3" s="98">
        <v>17790</v>
      </c>
      <c r="FC3" s="99">
        <v>4883</v>
      </c>
      <c r="FD3" s="82"/>
      <c r="FE3" s="81">
        <v>1</v>
      </c>
      <c r="FF3" s="84"/>
      <c r="FG3" s="84"/>
      <c r="FH3" s="85"/>
      <c r="FI3" s="82"/>
      <c r="FJ3" s="81">
        <v>1</v>
      </c>
      <c r="FK3" s="98">
        <v>23710</v>
      </c>
      <c r="FL3" s="98">
        <v>30579</v>
      </c>
      <c r="FM3" s="99">
        <v>8869</v>
      </c>
      <c r="FN3" s="82"/>
      <c r="FO3" s="81">
        <v>1</v>
      </c>
      <c r="FP3" s="98">
        <v>38924</v>
      </c>
      <c r="FQ3" s="98">
        <v>44780</v>
      </c>
      <c r="FR3" s="99">
        <v>8988</v>
      </c>
      <c r="FS3" s="82"/>
      <c r="FT3" s="81">
        <v>1</v>
      </c>
      <c r="FU3" s="98">
        <v>24512</v>
      </c>
      <c r="FV3" s="98">
        <v>39706</v>
      </c>
      <c r="FW3" s="99">
        <v>6671</v>
      </c>
      <c r="FX3" s="82"/>
      <c r="FY3" s="81">
        <v>1</v>
      </c>
      <c r="FZ3" s="98">
        <v>31817</v>
      </c>
      <c r="GA3" s="98">
        <v>45118</v>
      </c>
      <c r="GB3" s="99">
        <v>8750</v>
      </c>
      <c r="GC3" s="82"/>
      <c r="GD3" s="81">
        <v>1</v>
      </c>
      <c r="GE3" s="98">
        <v>40722</v>
      </c>
      <c r="GF3" s="98">
        <v>42591</v>
      </c>
      <c r="GG3" s="99">
        <v>7808</v>
      </c>
      <c r="GH3" s="82"/>
      <c r="GI3" s="81">
        <v>1</v>
      </c>
      <c r="GJ3" s="98">
        <v>35780</v>
      </c>
      <c r="GK3" s="98">
        <v>40233</v>
      </c>
      <c r="GL3" s="99">
        <v>8357</v>
      </c>
      <c r="GM3" s="82"/>
      <c r="GN3" s="81">
        <v>1</v>
      </c>
      <c r="GO3" s="98">
        <v>44131</v>
      </c>
      <c r="GP3" s="98">
        <v>59057</v>
      </c>
      <c r="GQ3" s="99">
        <v>10251</v>
      </c>
      <c r="GR3" s="82"/>
      <c r="GS3" s="81">
        <v>1</v>
      </c>
      <c r="GT3" s="98">
        <v>21454</v>
      </c>
      <c r="GU3" s="98">
        <v>27137</v>
      </c>
      <c r="GV3" s="99">
        <v>6785</v>
      </c>
      <c r="GW3" s="82"/>
      <c r="GX3" s="81">
        <v>1</v>
      </c>
      <c r="GY3" s="98">
        <v>13180</v>
      </c>
      <c r="GZ3" s="98">
        <v>18071</v>
      </c>
      <c r="HA3" s="99">
        <v>4921</v>
      </c>
      <c r="HB3" s="82"/>
      <c r="HC3" s="81">
        <v>1</v>
      </c>
      <c r="HD3" s="98">
        <v>68095</v>
      </c>
      <c r="HE3" s="98">
        <v>56380</v>
      </c>
      <c r="HF3" s="99">
        <v>11522</v>
      </c>
      <c r="HG3" s="82"/>
      <c r="HH3" s="81">
        <v>1</v>
      </c>
      <c r="HI3" s="102"/>
      <c r="HJ3" s="102"/>
      <c r="HK3" s="103"/>
      <c r="HL3" s="82"/>
      <c r="HM3" s="81">
        <v>1</v>
      </c>
      <c r="HN3" s="98">
        <v>25904</v>
      </c>
      <c r="HO3" s="98">
        <v>24770</v>
      </c>
      <c r="HP3" s="99">
        <v>6953</v>
      </c>
      <c r="HQ3" s="82"/>
      <c r="HR3" s="81">
        <v>1</v>
      </c>
      <c r="HS3" s="98">
        <v>24792</v>
      </c>
      <c r="HT3" s="98">
        <v>27909</v>
      </c>
      <c r="HU3" s="99">
        <v>7626</v>
      </c>
    </row>
    <row r="4" spans="1:229" x14ac:dyDescent="0.25">
      <c r="A4" t="s">
        <v>21</v>
      </c>
      <c r="B4" s="4">
        <v>1</v>
      </c>
      <c r="C4" s="92">
        <v>5557</v>
      </c>
      <c r="D4" s="92">
        <v>14216</v>
      </c>
      <c r="E4" s="92">
        <v>3368</v>
      </c>
      <c r="G4" s="4">
        <v>1</v>
      </c>
      <c r="H4" s="95">
        <v>7303</v>
      </c>
      <c r="I4" s="95">
        <v>14633</v>
      </c>
      <c r="J4" s="95">
        <v>4408</v>
      </c>
      <c r="L4" s="4">
        <v>1</v>
      </c>
      <c r="M4" s="92">
        <v>6170</v>
      </c>
      <c r="N4" s="92">
        <v>12897</v>
      </c>
      <c r="O4" s="92">
        <v>4809</v>
      </c>
      <c r="Q4" s="4">
        <v>1</v>
      </c>
      <c r="R4" s="92">
        <v>6515</v>
      </c>
      <c r="S4" s="92">
        <v>15274</v>
      </c>
      <c r="T4" s="92">
        <v>4463</v>
      </c>
      <c r="V4" s="4">
        <v>1</v>
      </c>
      <c r="W4" s="92">
        <v>8351</v>
      </c>
      <c r="X4" s="92">
        <v>22136</v>
      </c>
      <c r="Y4" s="92">
        <v>5639</v>
      </c>
      <c r="AA4" s="4">
        <v>1</v>
      </c>
      <c r="AB4" s="92">
        <v>7108</v>
      </c>
      <c r="AC4" s="92">
        <v>16639</v>
      </c>
      <c r="AD4" s="92">
        <v>4182</v>
      </c>
      <c r="AF4" s="4">
        <v>1</v>
      </c>
      <c r="AG4" s="92">
        <v>6534</v>
      </c>
      <c r="AH4" s="92">
        <v>11976</v>
      </c>
      <c r="AI4" s="92">
        <v>4537</v>
      </c>
      <c r="AK4" s="4">
        <v>1</v>
      </c>
      <c r="AL4" s="92">
        <v>5449</v>
      </c>
      <c r="AM4" s="92">
        <v>13371</v>
      </c>
      <c r="AN4" s="92">
        <v>3435</v>
      </c>
      <c r="AP4" s="4">
        <v>1</v>
      </c>
      <c r="AQ4" s="92">
        <v>4888</v>
      </c>
      <c r="AR4" s="92">
        <v>11644</v>
      </c>
      <c r="AS4" s="92">
        <v>4450</v>
      </c>
      <c r="AU4" s="4">
        <v>1</v>
      </c>
      <c r="AV4" s="92">
        <v>6432</v>
      </c>
      <c r="AW4" s="92">
        <v>15284</v>
      </c>
      <c r="AX4" s="92">
        <v>4390</v>
      </c>
      <c r="AZ4" s="4">
        <v>1</v>
      </c>
      <c r="BA4" s="92">
        <v>7096</v>
      </c>
      <c r="BB4" s="92">
        <v>11462</v>
      </c>
      <c r="BC4" s="92">
        <v>3968</v>
      </c>
      <c r="BE4" s="4">
        <v>1</v>
      </c>
      <c r="BF4" s="92">
        <v>16186</v>
      </c>
      <c r="BG4" s="92">
        <v>24409</v>
      </c>
      <c r="BH4" s="92">
        <v>7414</v>
      </c>
      <c r="BJ4" s="4">
        <v>1</v>
      </c>
      <c r="BK4" s="92">
        <v>5043</v>
      </c>
      <c r="BL4" s="92">
        <v>10678</v>
      </c>
      <c r="BM4" s="92">
        <v>3441</v>
      </c>
      <c r="BO4" s="4">
        <v>1</v>
      </c>
      <c r="BP4" s="92">
        <v>6581</v>
      </c>
      <c r="BQ4" s="92">
        <v>13358</v>
      </c>
      <c r="BR4" s="92">
        <v>3818</v>
      </c>
      <c r="BT4" s="4">
        <v>1</v>
      </c>
      <c r="BU4" s="92">
        <v>10030</v>
      </c>
      <c r="BV4" s="92">
        <v>20402</v>
      </c>
      <c r="BW4" s="92">
        <v>5800</v>
      </c>
      <c r="BZ4" t="s">
        <v>21</v>
      </c>
      <c r="CA4" s="4">
        <v>1</v>
      </c>
      <c r="CB4" s="92">
        <v>6870</v>
      </c>
      <c r="CC4" s="92">
        <v>15175</v>
      </c>
      <c r="CD4" s="92">
        <v>4480</v>
      </c>
      <c r="CF4" s="4">
        <v>1</v>
      </c>
      <c r="CG4" s="97"/>
      <c r="CH4" s="97"/>
      <c r="CI4" s="97"/>
      <c r="CK4" s="4">
        <v>1</v>
      </c>
      <c r="CL4" s="92">
        <v>17617</v>
      </c>
      <c r="CM4" s="92">
        <v>24113</v>
      </c>
      <c r="CN4" s="92">
        <v>7550</v>
      </c>
      <c r="CP4" s="4">
        <v>1</v>
      </c>
      <c r="CQ4" s="92">
        <v>17656</v>
      </c>
      <c r="CR4" s="92">
        <v>24434</v>
      </c>
      <c r="CS4" s="92">
        <v>5782</v>
      </c>
      <c r="CU4" s="4">
        <v>1</v>
      </c>
      <c r="CV4" s="92">
        <v>17268</v>
      </c>
      <c r="CW4" s="92">
        <v>28459</v>
      </c>
      <c r="CX4" s="92">
        <v>6365</v>
      </c>
      <c r="CZ4" s="4">
        <v>1</v>
      </c>
      <c r="DA4" s="92">
        <v>21116</v>
      </c>
      <c r="DB4" s="92">
        <v>26451</v>
      </c>
      <c r="DC4" s="92">
        <v>6860</v>
      </c>
      <c r="DE4" s="4">
        <v>1</v>
      </c>
      <c r="DF4" s="92">
        <v>20006</v>
      </c>
      <c r="DG4" s="92">
        <v>27118</v>
      </c>
      <c r="DH4" s="92">
        <v>6661</v>
      </c>
      <c r="DJ4" s="4">
        <v>1</v>
      </c>
      <c r="DK4" s="92">
        <v>16591</v>
      </c>
      <c r="DL4" s="92">
        <v>21164</v>
      </c>
      <c r="DM4" s="92">
        <v>4995</v>
      </c>
      <c r="DO4" s="4">
        <v>1</v>
      </c>
      <c r="DP4" s="96">
        <v>7128</v>
      </c>
      <c r="DQ4" s="96">
        <v>12229</v>
      </c>
      <c r="DR4" s="96">
        <v>4517</v>
      </c>
      <c r="DT4" s="4">
        <v>1</v>
      </c>
      <c r="DU4" s="92">
        <v>25094</v>
      </c>
      <c r="DV4" s="92">
        <v>28068</v>
      </c>
      <c r="DW4" s="92">
        <v>6853</v>
      </c>
      <c r="DY4" s="4">
        <v>1</v>
      </c>
      <c r="DZ4" s="92">
        <v>14311</v>
      </c>
      <c r="EA4" s="92">
        <v>20067</v>
      </c>
      <c r="EB4" s="92">
        <v>4273</v>
      </c>
      <c r="ED4" s="4">
        <v>1</v>
      </c>
      <c r="EE4" s="92">
        <v>38291</v>
      </c>
      <c r="EF4" s="92">
        <v>28357</v>
      </c>
      <c r="EG4" s="92">
        <v>9275</v>
      </c>
      <c r="EI4" s="4">
        <v>1</v>
      </c>
      <c r="EJ4" s="92">
        <v>9472</v>
      </c>
      <c r="EK4" s="92">
        <v>15868</v>
      </c>
      <c r="EL4" s="92">
        <v>3909</v>
      </c>
      <c r="EN4" s="4">
        <v>1</v>
      </c>
      <c r="EO4" s="92">
        <v>14462</v>
      </c>
      <c r="EP4" s="92">
        <v>18619</v>
      </c>
      <c r="EQ4" s="92">
        <v>5347</v>
      </c>
      <c r="ES4" s="4">
        <v>1</v>
      </c>
      <c r="ET4" s="92">
        <v>16649</v>
      </c>
      <c r="EU4" s="92">
        <v>22397</v>
      </c>
      <c r="EV4" s="92">
        <v>6793</v>
      </c>
      <c r="EY4" s="60" t="s">
        <v>21</v>
      </c>
      <c r="EZ4" s="81">
        <v>2</v>
      </c>
      <c r="FA4" s="98">
        <v>15341</v>
      </c>
      <c r="FB4" s="98">
        <v>25072</v>
      </c>
      <c r="FC4" s="99">
        <v>5892</v>
      </c>
      <c r="FD4" s="82"/>
      <c r="FE4" s="81">
        <v>2</v>
      </c>
      <c r="FF4" s="98">
        <v>60537</v>
      </c>
      <c r="FG4" s="98">
        <v>53065</v>
      </c>
      <c r="FH4" s="99">
        <v>10285</v>
      </c>
      <c r="FI4" s="82"/>
      <c r="FJ4" s="81">
        <v>2</v>
      </c>
      <c r="FK4" s="98">
        <v>41898</v>
      </c>
      <c r="FL4" s="98">
        <v>48110</v>
      </c>
      <c r="FM4" s="99">
        <v>9414</v>
      </c>
      <c r="FN4" s="82"/>
      <c r="FO4" s="81">
        <v>2</v>
      </c>
      <c r="FP4" s="98">
        <v>34569</v>
      </c>
      <c r="FQ4" s="98">
        <v>37513</v>
      </c>
      <c r="FR4" s="99">
        <v>8086</v>
      </c>
      <c r="FS4" s="82"/>
      <c r="FT4" s="81">
        <v>2</v>
      </c>
      <c r="FU4" s="98">
        <v>20596</v>
      </c>
      <c r="FV4" s="98">
        <v>24364</v>
      </c>
      <c r="FW4" s="99">
        <v>6339</v>
      </c>
      <c r="FX4" s="82"/>
      <c r="FY4" s="81">
        <v>2</v>
      </c>
      <c r="FZ4" s="98">
        <v>26950</v>
      </c>
      <c r="GA4" s="98">
        <v>37918</v>
      </c>
      <c r="GB4" s="99">
        <v>8027</v>
      </c>
      <c r="GC4" s="82"/>
      <c r="GD4" s="81">
        <v>2</v>
      </c>
      <c r="GE4" s="98">
        <v>5459</v>
      </c>
      <c r="GF4" s="98">
        <v>9187</v>
      </c>
      <c r="GG4" s="99">
        <v>2835</v>
      </c>
      <c r="GH4" s="82"/>
      <c r="GI4" s="81">
        <v>2</v>
      </c>
      <c r="GJ4" s="98">
        <v>81367</v>
      </c>
      <c r="GK4" s="98">
        <v>84442</v>
      </c>
      <c r="GL4" s="99">
        <v>11239</v>
      </c>
      <c r="GM4" s="82"/>
      <c r="GN4" s="81">
        <v>2</v>
      </c>
      <c r="GO4" s="98">
        <v>68639</v>
      </c>
      <c r="GP4" s="98">
        <v>77624</v>
      </c>
      <c r="GQ4" s="99">
        <v>12049</v>
      </c>
      <c r="GR4" s="82"/>
      <c r="GS4" s="81">
        <v>2</v>
      </c>
      <c r="GT4" s="98">
        <v>33244</v>
      </c>
      <c r="GU4" s="98">
        <v>39412</v>
      </c>
      <c r="GV4" s="99">
        <v>10818</v>
      </c>
      <c r="GW4" s="82"/>
      <c r="GX4" s="81">
        <v>2</v>
      </c>
      <c r="GY4" s="98">
        <v>7410</v>
      </c>
      <c r="GZ4" s="98">
        <v>12138</v>
      </c>
      <c r="HA4" s="99">
        <v>4247</v>
      </c>
      <c r="HB4" s="82"/>
      <c r="HC4" s="81">
        <v>2</v>
      </c>
      <c r="HD4" s="98">
        <v>39773</v>
      </c>
      <c r="HE4" s="98">
        <v>31750</v>
      </c>
      <c r="HF4" s="99">
        <v>9041</v>
      </c>
      <c r="HG4" s="82"/>
      <c r="HH4" s="81">
        <v>2</v>
      </c>
      <c r="HI4" s="98">
        <v>52332</v>
      </c>
      <c r="HJ4" s="98">
        <v>48009</v>
      </c>
      <c r="HK4" s="99">
        <v>11041</v>
      </c>
      <c r="HL4" s="82"/>
      <c r="HM4" s="81">
        <v>2</v>
      </c>
      <c r="HN4" s="98">
        <v>44181</v>
      </c>
      <c r="HO4" s="98">
        <v>40603</v>
      </c>
      <c r="HP4" s="99">
        <v>9644</v>
      </c>
      <c r="HQ4" s="82"/>
      <c r="HR4" s="81">
        <v>2</v>
      </c>
      <c r="HS4" s="98">
        <v>24664</v>
      </c>
      <c r="HT4" s="98">
        <v>39114</v>
      </c>
      <c r="HU4" s="99">
        <v>7654</v>
      </c>
    </row>
    <row r="5" spans="1:229" x14ac:dyDescent="0.25">
      <c r="A5" t="s">
        <v>21</v>
      </c>
      <c r="B5" s="4">
        <v>2</v>
      </c>
      <c r="C5" s="92">
        <v>6141</v>
      </c>
      <c r="D5" s="92">
        <v>17829</v>
      </c>
      <c r="E5" s="92">
        <v>4819</v>
      </c>
      <c r="G5" s="4">
        <v>2</v>
      </c>
      <c r="H5" s="95">
        <v>6978</v>
      </c>
      <c r="I5" s="95">
        <v>13395</v>
      </c>
      <c r="J5" s="95">
        <v>3804</v>
      </c>
      <c r="L5" s="4">
        <v>2</v>
      </c>
      <c r="M5" s="92">
        <v>9605</v>
      </c>
      <c r="N5" s="92">
        <v>16803</v>
      </c>
      <c r="O5" s="92">
        <v>4131</v>
      </c>
      <c r="Q5" s="4">
        <v>2</v>
      </c>
      <c r="R5" s="92">
        <v>8689</v>
      </c>
      <c r="S5" s="92">
        <v>16747</v>
      </c>
      <c r="T5" s="92">
        <v>5095</v>
      </c>
      <c r="V5" s="4">
        <v>2</v>
      </c>
      <c r="W5" s="92">
        <v>8424</v>
      </c>
      <c r="X5" s="92">
        <v>15921</v>
      </c>
      <c r="Y5" s="92">
        <v>3273</v>
      </c>
      <c r="AA5" s="4">
        <v>2</v>
      </c>
      <c r="AB5" s="92">
        <v>5795</v>
      </c>
      <c r="AC5" s="92">
        <v>16525</v>
      </c>
      <c r="AD5" s="92">
        <v>4019</v>
      </c>
      <c r="AF5" s="4">
        <v>2</v>
      </c>
      <c r="AG5" s="92">
        <v>5688</v>
      </c>
      <c r="AH5" s="92">
        <v>13557</v>
      </c>
      <c r="AI5" s="92">
        <v>3402</v>
      </c>
      <c r="AK5" s="4">
        <v>2</v>
      </c>
      <c r="AL5" s="92">
        <v>10455</v>
      </c>
      <c r="AM5" s="92">
        <v>22397</v>
      </c>
      <c r="AN5" s="92">
        <v>5577</v>
      </c>
      <c r="AP5" s="4">
        <v>2</v>
      </c>
      <c r="AQ5" s="92">
        <v>5263</v>
      </c>
      <c r="AR5" s="92">
        <v>12606</v>
      </c>
      <c r="AS5" s="92">
        <v>4698</v>
      </c>
      <c r="AU5" s="4">
        <v>2</v>
      </c>
      <c r="AV5" s="92">
        <v>7710</v>
      </c>
      <c r="AW5" s="92">
        <v>16959</v>
      </c>
      <c r="AX5" s="92">
        <v>5712</v>
      </c>
      <c r="AZ5" s="4">
        <v>2</v>
      </c>
      <c r="BA5" s="92">
        <v>5554</v>
      </c>
      <c r="BB5" s="92">
        <v>12013</v>
      </c>
      <c r="BC5" s="92">
        <v>3659</v>
      </c>
      <c r="BE5" s="4">
        <v>2</v>
      </c>
      <c r="BF5" s="92">
        <v>10703</v>
      </c>
      <c r="BG5" s="92">
        <v>15791</v>
      </c>
      <c r="BH5" s="92">
        <v>4967</v>
      </c>
      <c r="BJ5" s="4">
        <v>2</v>
      </c>
      <c r="BK5" s="92">
        <v>13712</v>
      </c>
      <c r="BL5" s="92">
        <v>23092</v>
      </c>
      <c r="BM5" s="92">
        <v>6808</v>
      </c>
      <c r="BO5" s="4">
        <v>2</v>
      </c>
      <c r="BP5" s="92">
        <v>8040</v>
      </c>
      <c r="BQ5" s="92">
        <v>13922</v>
      </c>
      <c r="BR5" s="92">
        <v>4115</v>
      </c>
      <c r="BT5" s="4">
        <v>2</v>
      </c>
      <c r="BU5" s="92">
        <v>6324</v>
      </c>
      <c r="BV5" s="92">
        <v>14038</v>
      </c>
      <c r="BW5" s="92">
        <v>4593</v>
      </c>
      <c r="BZ5" t="s">
        <v>21</v>
      </c>
      <c r="CA5" s="4">
        <v>2</v>
      </c>
      <c r="CB5" s="92">
        <v>10391</v>
      </c>
      <c r="CC5" s="92">
        <v>21404</v>
      </c>
      <c r="CD5" s="92">
        <v>4959</v>
      </c>
      <c r="CF5" s="4">
        <v>2</v>
      </c>
      <c r="CG5" s="92">
        <v>18637</v>
      </c>
      <c r="CH5" s="92">
        <v>22574</v>
      </c>
      <c r="CI5" s="92">
        <v>5679</v>
      </c>
      <c r="CK5" s="4">
        <v>2</v>
      </c>
      <c r="CL5" s="92">
        <v>26761</v>
      </c>
      <c r="CM5" s="92">
        <v>29939</v>
      </c>
      <c r="CN5" s="92">
        <v>6883</v>
      </c>
      <c r="CP5" s="4">
        <v>2</v>
      </c>
      <c r="CQ5" s="92">
        <v>19185</v>
      </c>
      <c r="CR5" s="92">
        <v>27196</v>
      </c>
      <c r="CS5" s="92">
        <v>6024</v>
      </c>
      <c r="CU5" s="4">
        <v>2</v>
      </c>
      <c r="CV5" s="92">
        <v>13463</v>
      </c>
      <c r="CW5" s="92">
        <v>18763</v>
      </c>
      <c r="CX5" s="92">
        <v>4876</v>
      </c>
      <c r="CZ5" s="4">
        <v>2</v>
      </c>
      <c r="DA5" s="92">
        <v>16839</v>
      </c>
      <c r="DB5" s="92">
        <v>24180</v>
      </c>
      <c r="DC5" s="92">
        <v>6842</v>
      </c>
      <c r="DE5" s="4">
        <v>2</v>
      </c>
      <c r="DF5" s="96">
        <v>6704</v>
      </c>
      <c r="DG5" s="96">
        <v>10509</v>
      </c>
      <c r="DH5" s="96">
        <v>3450</v>
      </c>
      <c r="DJ5" s="4">
        <v>2</v>
      </c>
      <c r="DK5" s="92">
        <v>32558</v>
      </c>
      <c r="DL5" s="92">
        <v>47179</v>
      </c>
      <c r="DM5" s="92">
        <v>7778</v>
      </c>
      <c r="DO5" s="4">
        <v>2</v>
      </c>
      <c r="DP5" s="92">
        <v>16620</v>
      </c>
      <c r="DQ5" s="92">
        <v>32074</v>
      </c>
      <c r="DR5" s="92">
        <v>6739</v>
      </c>
      <c r="DT5" s="4">
        <v>2</v>
      </c>
      <c r="DU5" s="92">
        <v>23163</v>
      </c>
      <c r="DV5" s="92">
        <v>28192</v>
      </c>
      <c r="DW5" s="92">
        <v>8983</v>
      </c>
      <c r="DY5" s="4">
        <v>2</v>
      </c>
      <c r="DZ5" s="92">
        <v>6556</v>
      </c>
      <c r="EA5" s="92">
        <v>12141</v>
      </c>
      <c r="EB5" s="92">
        <v>3944</v>
      </c>
      <c r="ED5" s="4">
        <v>2</v>
      </c>
      <c r="EE5" s="92">
        <v>23896</v>
      </c>
      <c r="EF5" s="92">
        <v>20612</v>
      </c>
      <c r="EG5" s="92">
        <v>6096</v>
      </c>
      <c r="EI5" s="4">
        <v>2</v>
      </c>
      <c r="EJ5" s="92">
        <v>29209</v>
      </c>
      <c r="EK5" s="92">
        <v>31185</v>
      </c>
      <c r="EL5" s="92">
        <v>8182</v>
      </c>
      <c r="EN5" s="4">
        <v>2</v>
      </c>
      <c r="EO5" s="92">
        <v>22969</v>
      </c>
      <c r="EP5" s="92">
        <v>24223</v>
      </c>
      <c r="EQ5" s="92">
        <v>6851</v>
      </c>
      <c r="ES5" s="4">
        <v>2</v>
      </c>
      <c r="ET5" s="92">
        <v>15624</v>
      </c>
      <c r="EU5" s="92">
        <v>23673</v>
      </c>
      <c r="EV5" s="92">
        <v>6368</v>
      </c>
      <c r="EY5" s="60" t="s">
        <v>21</v>
      </c>
      <c r="EZ5" s="81">
        <v>3</v>
      </c>
      <c r="FA5" s="98">
        <v>19611</v>
      </c>
      <c r="FB5" s="98">
        <v>35627</v>
      </c>
      <c r="FC5" s="99">
        <v>5766</v>
      </c>
      <c r="FD5" s="82"/>
      <c r="FE5" s="81">
        <v>3</v>
      </c>
      <c r="FF5" s="98">
        <v>26160</v>
      </c>
      <c r="FG5" s="98">
        <v>36248</v>
      </c>
      <c r="FH5" s="99">
        <v>7727</v>
      </c>
      <c r="FI5" s="82"/>
      <c r="FJ5" s="81">
        <v>3</v>
      </c>
      <c r="FK5" s="98">
        <v>41375</v>
      </c>
      <c r="FL5" s="98">
        <v>44546</v>
      </c>
      <c r="FM5" s="99">
        <v>9644</v>
      </c>
      <c r="FN5" s="82"/>
      <c r="FO5" s="81">
        <v>3</v>
      </c>
      <c r="FP5" s="98">
        <v>29794</v>
      </c>
      <c r="FQ5" s="98">
        <v>32748</v>
      </c>
      <c r="FR5" s="99">
        <v>8314</v>
      </c>
      <c r="FS5" s="82"/>
      <c r="FT5" s="81">
        <v>3</v>
      </c>
      <c r="FU5" s="98">
        <v>20781</v>
      </c>
      <c r="FV5" s="98">
        <v>30555</v>
      </c>
      <c r="FW5" s="99">
        <v>7656</v>
      </c>
      <c r="FX5" s="82"/>
      <c r="FY5" s="81">
        <v>3</v>
      </c>
      <c r="FZ5" s="98">
        <v>20579</v>
      </c>
      <c r="GA5" s="98">
        <v>26512</v>
      </c>
      <c r="GB5" s="99">
        <v>6419</v>
      </c>
      <c r="GC5" s="82"/>
      <c r="GD5" s="81">
        <v>3</v>
      </c>
      <c r="GE5" s="98">
        <v>6263</v>
      </c>
      <c r="GF5" s="98">
        <v>10587</v>
      </c>
      <c r="GG5" s="99">
        <v>3522</v>
      </c>
      <c r="GH5" s="82"/>
      <c r="GI5" s="81">
        <v>3</v>
      </c>
      <c r="GJ5" s="98">
        <v>43772</v>
      </c>
      <c r="GK5" s="98">
        <v>49505</v>
      </c>
      <c r="GL5" s="99">
        <v>10468</v>
      </c>
      <c r="GM5" s="82"/>
      <c r="GN5" s="81">
        <v>3</v>
      </c>
      <c r="GO5" s="98">
        <v>38063</v>
      </c>
      <c r="GP5" s="98">
        <v>50490</v>
      </c>
      <c r="GQ5" s="99">
        <v>8826</v>
      </c>
      <c r="GR5" s="82"/>
      <c r="GS5" s="81">
        <v>3</v>
      </c>
      <c r="GT5" s="98">
        <v>24654</v>
      </c>
      <c r="GU5" s="98">
        <v>23654</v>
      </c>
      <c r="GV5" s="99">
        <v>7662</v>
      </c>
      <c r="GW5" s="82"/>
      <c r="GX5" s="81">
        <v>3</v>
      </c>
      <c r="GY5" s="98">
        <v>9659</v>
      </c>
      <c r="GZ5" s="98">
        <v>15655</v>
      </c>
      <c r="HA5" s="99">
        <v>4867</v>
      </c>
      <c r="HB5" s="82"/>
      <c r="HC5" s="81">
        <v>3</v>
      </c>
      <c r="HD5" s="98">
        <v>59548</v>
      </c>
      <c r="HE5" s="98">
        <v>44249</v>
      </c>
      <c r="HF5" s="99">
        <v>10428</v>
      </c>
      <c r="HG5" s="82"/>
      <c r="HH5" s="81">
        <v>3</v>
      </c>
      <c r="HI5" s="98">
        <v>34259</v>
      </c>
      <c r="HJ5" s="98">
        <v>29342</v>
      </c>
      <c r="HK5" s="99">
        <v>8104</v>
      </c>
      <c r="HL5" s="82"/>
      <c r="HM5" s="81">
        <v>3</v>
      </c>
      <c r="HN5" s="102"/>
      <c r="HO5" s="102"/>
      <c r="HP5" s="103"/>
      <c r="HQ5" s="82"/>
      <c r="HR5" s="81">
        <v>3</v>
      </c>
      <c r="HS5" s="98">
        <v>34466</v>
      </c>
      <c r="HT5" s="98">
        <v>34188</v>
      </c>
      <c r="HU5" s="99">
        <v>8236</v>
      </c>
    </row>
    <row r="6" spans="1:229" x14ac:dyDescent="0.25">
      <c r="A6" t="s">
        <v>21</v>
      </c>
      <c r="B6" s="4">
        <v>3</v>
      </c>
      <c r="C6" s="92">
        <v>9910</v>
      </c>
      <c r="D6" s="92">
        <v>18566</v>
      </c>
      <c r="E6" s="92">
        <v>5367</v>
      </c>
      <c r="G6" s="4">
        <v>3</v>
      </c>
      <c r="H6" s="95">
        <v>4641</v>
      </c>
      <c r="I6" s="95">
        <v>10669</v>
      </c>
      <c r="J6" s="95">
        <v>4132</v>
      </c>
      <c r="L6" s="4">
        <v>3</v>
      </c>
      <c r="M6" s="92">
        <v>6296</v>
      </c>
      <c r="N6" s="92">
        <v>12129</v>
      </c>
      <c r="O6" s="92">
        <v>4352</v>
      </c>
      <c r="Q6" s="4">
        <v>3</v>
      </c>
      <c r="R6" s="92">
        <v>9502</v>
      </c>
      <c r="S6" s="92">
        <v>18563</v>
      </c>
      <c r="T6" s="92">
        <v>5541</v>
      </c>
      <c r="V6" s="4">
        <v>3</v>
      </c>
      <c r="W6" s="92">
        <v>7946</v>
      </c>
      <c r="X6" s="92">
        <v>17801</v>
      </c>
      <c r="Y6" s="92">
        <v>5823</v>
      </c>
      <c r="AA6" s="4">
        <v>3</v>
      </c>
      <c r="AB6" s="92">
        <v>4787</v>
      </c>
      <c r="AC6" s="92">
        <v>14821</v>
      </c>
      <c r="AD6" s="92">
        <v>3140</v>
      </c>
      <c r="AF6" s="4">
        <v>3</v>
      </c>
      <c r="AG6" s="92">
        <v>5284</v>
      </c>
      <c r="AH6" s="92">
        <v>12344</v>
      </c>
      <c r="AI6" s="92">
        <v>3653</v>
      </c>
      <c r="AK6" s="4">
        <v>3</v>
      </c>
      <c r="AL6" s="92">
        <v>6532</v>
      </c>
      <c r="AM6" s="92">
        <v>14652</v>
      </c>
      <c r="AN6" s="92">
        <v>5157</v>
      </c>
      <c r="AP6" s="4">
        <v>3</v>
      </c>
      <c r="AQ6" s="92">
        <v>9395</v>
      </c>
      <c r="AR6" s="92">
        <v>21483</v>
      </c>
      <c r="AS6" s="92">
        <v>6513</v>
      </c>
      <c r="AU6" s="4">
        <v>3</v>
      </c>
      <c r="AV6" s="92">
        <v>5857</v>
      </c>
      <c r="AW6" s="92">
        <v>13572</v>
      </c>
      <c r="AX6" s="92">
        <v>4664</v>
      </c>
      <c r="AZ6" s="4">
        <v>3</v>
      </c>
      <c r="BA6" s="92">
        <v>3853</v>
      </c>
      <c r="BB6" s="92">
        <v>10201</v>
      </c>
      <c r="BC6" s="92">
        <v>2834</v>
      </c>
      <c r="BE6" s="4">
        <v>3</v>
      </c>
      <c r="BF6" s="92">
        <v>9946</v>
      </c>
      <c r="BG6" s="92">
        <v>16773</v>
      </c>
      <c r="BH6" s="92">
        <v>5131</v>
      </c>
      <c r="BJ6" s="4">
        <v>3</v>
      </c>
      <c r="BK6" s="92">
        <v>6584</v>
      </c>
      <c r="BL6" s="92">
        <v>13772</v>
      </c>
      <c r="BM6" s="92">
        <v>4961</v>
      </c>
      <c r="BO6" s="4">
        <v>3</v>
      </c>
      <c r="BP6" s="92">
        <v>5009</v>
      </c>
      <c r="BQ6" s="92">
        <v>10895</v>
      </c>
      <c r="BR6" s="92">
        <v>3405</v>
      </c>
      <c r="BT6" s="4">
        <v>3</v>
      </c>
      <c r="BU6" s="92">
        <v>8631</v>
      </c>
      <c r="BV6" s="92">
        <v>16219</v>
      </c>
      <c r="BW6" s="92">
        <v>4829</v>
      </c>
      <c r="BZ6" t="s">
        <v>21</v>
      </c>
      <c r="CA6" s="4">
        <v>3</v>
      </c>
      <c r="CB6" s="92">
        <v>16896</v>
      </c>
      <c r="CC6" s="92">
        <v>27210</v>
      </c>
      <c r="CD6" s="92">
        <v>6168</v>
      </c>
      <c r="CF6" s="4">
        <v>3</v>
      </c>
      <c r="CG6" s="92">
        <v>11122</v>
      </c>
      <c r="CH6" s="92">
        <v>20535</v>
      </c>
      <c r="CI6" s="92">
        <v>5503</v>
      </c>
      <c r="CK6" s="4">
        <v>3</v>
      </c>
      <c r="CL6" s="92">
        <v>17417</v>
      </c>
      <c r="CM6" s="92">
        <v>25806</v>
      </c>
      <c r="CN6" s="92">
        <v>6909</v>
      </c>
      <c r="CP6" s="4">
        <v>3</v>
      </c>
      <c r="CQ6" s="92">
        <v>17263</v>
      </c>
      <c r="CR6" s="92">
        <v>27090</v>
      </c>
      <c r="CS6" s="92">
        <v>6834</v>
      </c>
      <c r="CU6" s="4">
        <v>3</v>
      </c>
      <c r="CV6" s="92">
        <v>15997</v>
      </c>
      <c r="CW6" s="92">
        <v>25580</v>
      </c>
      <c r="CX6" s="92">
        <v>7262</v>
      </c>
      <c r="CZ6" s="4">
        <v>3</v>
      </c>
      <c r="DA6" s="92">
        <v>11982</v>
      </c>
      <c r="DB6" s="92">
        <v>20134</v>
      </c>
      <c r="DC6" s="92">
        <v>4724</v>
      </c>
      <c r="DE6" s="4">
        <v>3</v>
      </c>
      <c r="DF6" s="96">
        <v>6425</v>
      </c>
      <c r="DG6" s="96">
        <v>11032</v>
      </c>
      <c r="DH6" s="96">
        <v>4098</v>
      </c>
      <c r="DJ6" s="4">
        <v>3</v>
      </c>
      <c r="DK6" s="92">
        <v>17928</v>
      </c>
      <c r="DL6" s="92">
        <v>27777</v>
      </c>
      <c r="DM6" s="92">
        <v>7397</v>
      </c>
      <c r="DO6" s="4">
        <v>3</v>
      </c>
      <c r="DP6" s="92">
        <v>27274</v>
      </c>
      <c r="DQ6" s="92">
        <v>41886</v>
      </c>
      <c r="DR6" s="92">
        <v>8714</v>
      </c>
      <c r="DT6" s="4">
        <v>3</v>
      </c>
      <c r="DU6" s="92">
        <v>20483</v>
      </c>
      <c r="DV6" s="92">
        <v>25206</v>
      </c>
      <c r="DW6" s="92">
        <v>7091</v>
      </c>
      <c r="DY6" s="4">
        <v>3</v>
      </c>
      <c r="DZ6" s="92">
        <v>6223</v>
      </c>
      <c r="EA6" s="92">
        <v>11196</v>
      </c>
      <c r="EB6" s="92">
        <v>4133</v>
      </c>
      <c r="ED6" s="4">
        <v>3</v>
      </c>
      <c r="EE6" s="92">
        <v>27103</v>
      </c>
      <c r="EF6" s="92">
        <v>24042</v>
      </c>
      <c r="EG6" s="92">
        <v>7314</v>
      </c>
      <c r="EI6" s="4">
        <v>3</v>
      </c>
      <c r="EJ6" s="92">
        <v>15186</v>
      </c>
      <c r="EK6" s="92">
        <v>20002</v>
      </c>
      <c r="EL6" s="92">
        <v>5906</v>
      </c>
      <c r="EN6" s="4">
        <v>3</v>
      </c>
      <c r="EO6" s="92">
        <v>7499</v>
      </c>
      <c r="EP6" s="92">
        <v>12208</v>
      </c>
      <c r="EQ6" s="92">
        <v>4264</v>
      </c>
      <c r="ES6" s="4">
        <v>3</v>
      </c>
      <c r="ET6" s="92">
        <v>17388</v>
      </c>
      <c r="EU6" s="92">
        <v>22095</v>
      </c>
      <c r="EV6" s="92">
        <v>6711</v>
      </c>
      <c r="EY6" s="60" t="s">
        <v>21</v>
      </c>
      <c r="EZ6" s="81">
        <v>4</v>
      </c>
      <c r="FA6" s="98">
        <v>23876</v>
      </c>
      <c r="FB6" s="98">
        <v>29717</v>
      </c>
      <c r="FC6" s="99">
        <v>7134</v>
      </c>
      <c r="FD6" s="82"/>
      <c r="FE6" s="81">
        <v>4</v>
      </c>
      <c r="FF6" s="98">
        <v>15567</v>
      </c>
      <c r="FG6" s="98">
        <v>22327</v>
      </c>
      <c r="FH6" s="99">
        <v>6619</v>
      </c>
      <c r="FI6" s="82"/>
      <c r="FJ6" s="81">
        <v>4</v>
      </c>
      <c r="FK6" s="98">
        <v>34550</v>
      </c>
      <c r="FL6" s="98">
        <v>46221</v>
      </c>
      <c r="FM6" s="99">
        <v>8472</v>
      </c>
      <c r="FN6" s="82"/>
      <c r="FO6" s="81">
        <v>4</v>
      </c>
      <c r="FP6" s="98">
        <v>27063</v>
      </c>
      <c r="FQ6" s="98">
        <v>33630</v>
      </c>
      <c r="FR6" s="99">
        <v>8747</v>
      </c>
      <c r="FS6" s="82"/>
      <c r="FT6" s="81">
        <v>4</v>
      </c>
      <c r="FU6" s="98">
        <v>13901</v>
      </c>
      <c r="FV6" s="98">
        <v>30057</v>
      </c>
      <c r="FW6" s="99">
        <v>5659</v>
      </c>
      <c r="FX6" s="82"/>
      <c r="FY6" s="81">
        <v>4</v>
      </c>
      <c r="FZ6" s="98">
        <v>25766</v>
      </c>
      <c r="GA6" s="98">
        <v>28530</v>
      </c>
      <c r="GB6" s="99">
        <v>7477</v>
      </c>
      <c r="GC6" s="82"/>
      <c r="GD6" s="81">
        <v>4</v>
      </c>
      <c r="GE6" s="102"/>
      <c r="GF6" s="102"/>
      <c r="GG6" s="103"/>
      <c r="GH6" s="82"/>
      <c r="GI6" s="81">
        <v>4</v>
      </c>
      <c r="GJ6" s="98">
        <v>35567</v>
      </c>
      <c r="GK6" s="98">
        <v>39583</v>
      </c>
      <c r="GL6" s="99">
        <v>8323</v>
      </c>
      <c r="GM6" s="82"/>
      <c r="GN6" s="81">
        <v>4</v>
      </c>
      <c r="GO6" s="98">
        <v>43310</v>
      </c>
      <c r="GP6" s="98">
        <v>56472</v>
      </c>
      <c r="GQ6" s="99">
        <v>9216</v>
      </c>
      <c r="GR6" s="82"/>
      <c r="GS6" s="81">
        <v>4</v>
      </c>
      <c r="GT6" s="98">
        <v>10920</v>
      </c>
      <c r="GU6" s="98">
        <v>15752</v>
      </c>
      <c r="GV6" s="99">
        <v>4909</v>
      </c>
      <c r="GW6" s="82"/>
      <c r="GX6" s="81">
        <v>4</v>
      </c>
      <c r="GY6" s="98">
        <v>18737</v>
      </c>
      <c r="GZ6" s="98">
        <v>26504</v>
      </c>
      <c r="HA6" s="99">
        <v>5897</v>
      </c>
      <c r="HB6" s="82"/>
      <c r="HC6" s="81">
        <v>4</v>
      </c>
      <c r="HD6" s="98">
        <v>56654</v>
      </c>
      <c r="HE6" s="98">
        <v>50438</v>
      </c>
      <c r="HF6" s="99">
        <v>11611</v>
      </c>
      <c r="HG6" s="82"/>
      <c r="HH6" s="81">
        <v>4</v>
      </c>
      <c r="HI6" s="98">
        <v>51879</v>
      </c>
      <c r="HJ6" s="98">
        <v>44281</v>
      </c>
      <c r="HK6" s="99">
        <v>9619</v>
      </c>
      <c r="HL6" s="82"/>
      <c r="HM6" s="81">
        <v>4</v>
      </c>
      <c r="HN6" s="98">
        <v>31341</v>
      </c>
      <c r="HO6" s="98">
        <v>33847</v>
      </c>
      <c r="HP6" s="99">
        <v>8068</v>
      </c>
      <c r="HQ6" s="82"/>
      <c r="HR6" s="81">
        <v>4</v>
      </c>
      <c r="HS6" s="98">
        <v>6681</v>
      </c>
      <c r="HT6" s="98">
        <v>14368</v>
      </c>
      <c r="HU6" s="99">
        <v>5784</v>
      </c>
    </row>
    <row r="7" spans="1:229" x14ac:dyDescent="0.25">
      <c r="A7" t="s">
        <v>21</v>
      </c>
      <c r="B7" s="4">
        <v>4</v>
      </c>
      <c r="C7" s="92">
        <v>8478</v>
      </c>
      <c r="D7" s="92">
        <v>16434</v>
      </c>
      <c r="E7" s="92">
        <v>4862</v>
      </c>
      <c r="G7" s="4">
        <v>4</v>
      </c>
      <c r="H7" s="95">
        <v>5144</v>
      </c>
      <c r="I7" s="95">
        <v>12319</v>
      </c>
      <c r="J7" s="95">
        <v>3991</v>
      </c>
      <c r="L7" s="4">
        <v>4</v>
      </c>
      <c r="M7" s="92">
        <v>6194</v>
      </c>
      <c r="N7" s="92">
        <v>13142</v>
      </c>
      <c r="O7" s="92">
        <v>3612</v>
      </c>
      <c r="Q7" s="4">
        <v>4</v>
      </c>
      <c r="R7" s="92">
        <v>7955</v>
      </c>
      <c r="S7" s="92">
        <v>15738</v>
      </c>
      <c r="T7" s="92">
        <v>4856</v>
      </c>
      <c r="V7" s="4">
        <v>4</v>
      </c>
      <c r="W7" s="92">
        <v>6269</v>
      </c>
      <c r="X7" s="92">
        <v>16017</v>
      </c>
      <c r="Y7" s="92">
        <v>4592</v>
      </c>
      <c r="AA7" s="4">
        <v>4</v>
      </c>
      <c r="AB7" s="92">
        <v>5176</v>
      </c>
      <c r="AC7" s="92">
        <v>13361</v>
      </c>
      <c r="AD7" s="92">
        <v>3790</v>
      </c>
      <c r="AF7" s="4">
        <v>4</v>
      </c>
      <c r="AG7" s="92">
        <v>6371</v>
      </c>
      <c r="AH7" s="92">
        <v>16535</v>
      </c>
      <c r="AI7" s="92">
        <v>4961</v>
      </c>
      <c r="AK7" s="4">
        <v>4</v>
      </c>
      <c r="AL7" s="92">
        <v>9208</v>
      </c>
      <c r="AM7" s="92">
        <v>19686</v>
      </c>
      <c r="AN7" s="92">
        <v>4234</v>
      </c>
      <c r="AP7" s="4">
        <v>4</v>
      </c>
      <c r="AQ7" s="92">
        <v>7172</v>
      </c>
      <c r="AR7" s="92">
        <v>14543</v>
      </c>
      <c r="AS7" s="92">
        <v>4884</v>
      </c>
      <c r="AU7" s="4">
        <v>4</v>
      </c>
      <c r="AV7" s="92">
        <v>7842</v>
      </c>
      <c r="AW7" s="92">
        <v>17529</v>
      </c>
      <c r="AX7" s="92">
        <v>4225</v>
      </c>
      <c r="AZ7" s="4">
        <v>4</v>
      </c>
      <c r="BA7" s="92">
        <v>7231</v>
      </c>
      <c r="BB7" s="92">
        <v>13394</v>
      </c>
      <c r="BC7" s="92">
        <v>3819</v>
      </c>
      <c r="BE7" s="4">
        <v>4</v>
      </c>
      <c r="BF7" s="92">
        <v>13457</v>
      </c>
      <c r="BG7" s="92">
        <v>20109</v>
      </c>
      <c r="BH7" s="92">
        <v>7742</v>
      </c>
      <c r="BJ7" s="4">
        <v>4</v>
      </c>
      <c r="BK7" s="92">
        <v>10476</v>
      </c>
      <c r="BL7" s="92">
        <v>15285</v>
      </c>
      <c r="BM7" s="92">
        <v>5012</v>
      </c>
      <c r="BO7" s="4">
        <v>4</v>
      </c>
      <c r="BP7" s="92">
        <v>6986</v>
      </c>
      <c r="BQ7" s="92">
        <v>13908</v>
      </c>
      <c r="BR7" s="92">
        <v>4365</v>
      </c>
      <c r="BT7" s="4">
        <v>4</v>
      </c>
      <c r="BU7" s="92">
        <v>5880</v>
      </c>
      <c r="BV7" s="92">
        <v>14331</v>
      </c>
      <c r="BW7" s="92">
        <v>5549</v>
      </c>
      <c r="BZ7" t="s">
        <v>21</v>
      </c>
      <c r="CA7" s="4">
        <v>4</v>
      </c>
      <c r="CB7" s="92">
        <v>18907</v>
      </c>
      <c r="CC7" s="92">
        <v>23515</v>
      </c>
      <c r="CD7" s="92">
        <v>6919</v>
      </c>
      <c r="CF7" s="4">
        <v>4</v>
      </c>
      <c r="CG7" s="92">
        <v>9199</v>
      </c>
      <c r="CH7" s="92">
        <v>16796</v>
      </c>
      <c r="CI7" s="92">
        <v>5517</v>
      </c>
      <c r="CK7" s="4">
        <v>4</v>
      </c>
      <c r="CL7" s="92">
        <v>14031</v>
      </c>
      <c r="CM7" s="92">
        <v>21418</v>
      </c>
      <c r="CN7" s="92">
        <v>6106</v>
      </c>
      <c r="CP7" s="4">
        <v>4</v>
      </c>
      <c r="CQ7" s="92">
        <v>15270</v>
      </c>
      <c r="CR7" s="92">
        <v>19527</v>
      </c>
      <c r="CS7" s="92">
        <v>6541</v>
      </c>
      <c r="CU7" s="4">
        <v>4</v>
      </c>
      <c r="CV7" s="92">
        <v>8716</v>
      </c>
      <c r="CW7" s="92">
        <v>16167</v>
      </c>
      <c r="CX7" s="92">
        <v>4601</v>
      </c>
      <c r="CZ7" s="4">
        <v>4</v>
      </c>
      <c r="DA7" s="92">
        <v>19512</v>
      </c>
      <c r="DB7" s="92">
        <v>25876</v>
      </c>
      <c r="DC7" s="92">
        <v>5865</v>
      </c>
      <c r="DE7" s="4">
        <v>4</v>
      </c>
      <c r="DF7" s="92">
        <v>8607</v>
      </c>
      <c r="DG7" s="92">
        <v>16610</v>
      </c>
      <c r="DH7" s="92">
        <v>4728</v>
      </c>
      <c r="DJ7" s="4">
        <v>4</v>
      </c>
      <c r="DK7" s="92">
        <v>32315</v>
      </c>
      <c r="DL7" s="92">
        <v>38930</v>
      </c>
      <c r="DM7" s="92">
        <v>8722</v>
      </c>
      <c r="DO7" s="4">
        <v>4</v>
      </c>
      <c r="DP7" s="92">
        <v>15361</v>
      </c>
      <c r="DQ7" s="92">
        <v>22171</v>
      </c>
      <c r="DR7" s="92">
        <v>5722</v>
      </c>
      <c r="DT7" s="4">
        <v>4</v>
      </c>
      <c r="DU7" s="92">
        <v>8233</v>
      </c>
      <c r="DV7" s="92">
        <v>17832</v>
      </c>
      <c r="DW7" s="92">
        <v>4452</v>
      </c>
      <c r="DY7" s="4">
        <v>4</v>
      </c>
      <c r="DZ7" s="92">
        <v>10954</v>
      </c>
      <c r="EA7" s="92">
        <v>17739</v>
      </c>
      <c r="EB7" s="92">
        <v>4971</v>
      </c>
      <c r="ED7" s="4">
        <v>4</v>
      </c>
      <c r="EE7" s="92">
        <v>29666</v>
      </c>
      <c r="EF7" s="92">
        <v>30910</v>
      </c>
      <c r="EG7" s="92">
        <v>9571</v>
      </c>
      <c r="EI7" s="4">
        <v>4</v>
      </c>
      <c r="EJ7" s="92">
        <v>25399</v>
      </c>
      <c r="EK7" s="92">
        <v>27074</v>
      </c>
      <c r="EL7" s="92">
        <v>7397</v>
      </c>
      <c r="EN7" s="4">
        <v>4</v>
      </c>
      <c r="EO7" s="92">
        <v>17372</v>
      </c>
      <c r="EP7" s="92">
        <v>21792</v>
      </c>
      <c r="EQ7" s="92">
        <v>6066</v>
      </c>
      <c r="ES7" s="4">
        <v>4</v>
      </c>
      <c r="ET7" s="96">
        <v>8191</v>
      </c>
      <c r="EU7" s="96">
        <v>15466</v>
      </c>
      <c r="EV7" s="96">
        <v>5967</v>
      </c>
      <c r="EY7" s="60" t="s">
        <v>21</v>
      </c>
      <c r="EZ7" s="81">
        <v>5</v>
      </c>
      <c r="FA7" s="98">
        <v>13350</v>
      </c>
      <c r="FB7" s="98">
        <v>24928</v>
      </c>
      <c r="FC7" s="99">
        <v>5417</v>
      </c>
      <c r="FD7" s="82"/>
      <c r="FE7" s="81">
        <v>5</v>
      </c>
      <c r="FF7" s="98">
        <v>30036</v>
      </c>
      <c r="FG7" s="98">
        <v>42432</v>
      </c>
      <c r="FH7" s="99">
        <v>8087</v>
      </c>
      <c r="FI7" s="82"/>
      <c r="FJ7" s="81">
        <v>5</v>
      </c>
      <c r="FK7" s="98">
        <v>50259</v>
      </c>
      <c r="FL7" s="98">
        <v>54664</v>
      </c>
      <c r="FM7" s="99">
        <v>8575</v>
      </c>
      <c r="FN7" s="82"/>
      <c r="FO7" s="81">
        <v>5</v>
      </c>
      <c r="FP7" s="98">
        <v>24324</v>
      </c>
      <c r="FQ7" s="98">
        <v>35533</v>
      </c>
      <c r="FR7" s="99">
        <v>8428</v>
      </c>
      <c r="FS7" s="82"/>
      <c r="FT7" s="81">
        <v>5</v>
      </c>
      <c r="FU7" s="98">
        <v>20905</v>
      </c>
      <c r="FV7" s="98">
        <v>43000</v>
      </c>
      <c r="FW7" s="99">
        <v>6694</v>
      </c>
      <c r="FX7" s="82"/>
      <c r="FY7" s="81">
        <v>5</v>
      </c>
      <c r="FZ7" s="98">
        <v>22357</v>
      </c>
      <c r="GA7" s="98">
        <v>31742</v>
      </c>
      <c r="GB7" s="99">
        <v>6612</v>
      </c>
      <c r="GC7" s="82"/>
      <c r="GD7" s="81">
        <v>5</v>
      </c>
      <c r="GE7" s="98">
        <v>30438</v>
      </c>
      <c r="GF7" s="98">
        <v>37005</v>
      </c>
      <c r="GG7" s="99">
        <v>8958</v>
      </c>
      <c r="GH7" s="82"/>
      <c r="GI7" s="81">
        <v>5</v>
      </c>
      <c r="GJ7" s="98">
        <v>20578</v>
      </c>
      <c r="GK7" s="98">
        <v>26597</v>
      </c>
      <c r="GL7" s="99">
        <v>6106</v>
      </c>
      <c r="GM7" s="82"/>
      <c r="GN7" s="81">
        <v>5</v>
      </c>
      <c r="GO7" s="98">
        <v>47670</v>
      </c>
      <c r="GP7" s="98">
        <v>59677</v>
      </c>
      <c r="GQ7" s="99">
        <v>11080</v>
      </c>
      <c r="GR7" s="82"/>
      <c r="GS7" s="81">
        <v>5</v>
      </c>
      <c r="GT7" s="98">
        <v>24365</v>
      </c>
      <c r="GU7" s="98">
        <v>27214</v>
      </c>
      <c r="GV7" s="99">
        <v>7031</v>
      </c>
      <c r="GW7" s="82"/>
      <c r="GX7" s="81">
        <v>5</v>
      </c>
      <c r="GY7" s="100">
        <v>6157</v>
      </c>
      <c r="GZ7" s="100">
        <v>9612</v>
      </c>
      <c r="HA7" s="101">
        <v>3394</v>
      </c>
      <c r="HB7" s="82"/>
      <c r="HC7" s="81">
        <v>5</v>
      </c>
      <c r="HD7" s="98">
        <v>43909</v>
      </c>
      <c r="HE7" s="98">
        <v>30215</v>
      </c>
      <c r="HF7" s="99">
        <v>8466</v>
      </c>
      <c r="HG7" s="82"/>
      <c r="HH7" s="81">
        <v>5</v>
      </c>
      <c r="HI7" s="98">
        <v>37316</v>
      </c>
      <c r="HJ7" s="98">
        <v>34143</v>
      </c>
      <c r="HK7" s="99">
        <v>7770</v>
      </c>
      <c r="HL7" s="82"/>
      <c r="HM7" s="81">
        <v>5</v>
      </c>
      <c r="HN7" s="102"/>
      <c r="HO7" s="102"/>
      <c r="HP7" s="103"/>
      <c r="HQ7" s="82"/>
      <c r="HR7" s="81">
        <v>5</v>
      </c>
      <c r="HS7" s="98">
        <v>13548</v>
      </c>
      <c r="HT7" s="98">
        <v>22289</v>
      </c>
      <c r="HU7" s="99">
        <v>5884</v>
      </c>
    </row>
    <row r="8" spans="1:229" x14ac:dyDescent="0.25">
      <c r="A8" t="s">
        <v>21</v>
      </c>
      <c r="B8" s="4">
        <v>5</v>
      </c>
      <c r="C8" s="92">
        <v>8976</v>
      </c>
      <c r="D8" s="92">
        <v>16109</v>
      </c>
      <c r="E8" s="92">
        <v>5130</v>
      </c>
      <c r="G8" s="4">
        <v>5</v>
      </c>
      <c r="H8" s="95">
        <v>5600</v>
      </c>
      <c r="I8" s="95">
        <v>11770</v>
      </c>
      <c r="J8" s="95">
        <v>4112</v>
      </c>
      <c r="L8" s="4">
        <v>5</v>
      </c>
      <c r="M8" s="92">
        <v>8303</v>
      </c>
      <c r="N8" s="92">
        <v>15120</v>
      </c>
      <c r="O8" s="92">
        <v>4772</v>
      </c>
      <c r="Q8" s="4">
        <v>5</v>
      </c>
      <c r="R8" s="92">
        <v>4818</v>
      </c>
      <c r="S8" s="92">
        <v>10181</v>
      </c>
      <c r="T8" s="92">
        <v>3937</v>
      </c>
      <c r="V8" s="4">
        <v>5</v>
      </c>
      <c r="W8" s="92">
        <v>7515</v>
      </c>
      <c r="X8" s="92">
        <v>17709</v>
      </c>
      <c r="Y8" s="92">
        <v>3529</v>
      </c>
      <c r="AA8" s="4">
        <v>5</v>
      </c>
      <c r="AB8" s="92">
        <v>3580</v>
      </c>
      <c r="AC8" s="92">
        <v>16327</v>
      </c>
      <c r="AD8" s="92">
        <v>3691</v>
      </c>
      <c r="AF8" s="4">
        <v>5</v>
      </c>
      <c r="AG8" s="92">
        <v>5044</v>
      </c>
      <c r="AH8" s="92">
        <v>12950</v>
      </c>
      <c r="AI8" s="92">
        <v>4756</v>
      </c>
      <c r="AK8" s="4">
        <v>5</v>
      </c>
      <c r="AL8" s="92">
        <v>7721</v>
      </c>
      <c r="AM8" s="92">
        <v>19281</v>
      </c>
      <c r="AN8" s="92">
        <v>5251</v>
      </c>
      <c r="AP8" s="4">
        <v>5</v>
      </c>
      <c r="AQ8" s="92">
        <v>6618</v>
      </c>
      <c r="AR8" s="92">
        <v>15143</v>
      </c>
      <c r="AS8" s="92">
        <v>4191</v>
      </c>
      <c r="AU8" s="4">
        <v>5</v>
      </c>
      <c r="AV8" s="92">
        <v>7788</v>
      </c>
      <c r="AW8" s="92">
        <v>17912</v>
      </c>
      <c r="AX8" s="92">
        <v>4230</v>
      </c>
      <c r="AZ8" s="4">
        <v>5</v>
      </c>
      <c r="BA8" s="92">
        <v>3313</v>
      </c>
      <c r="BB8" s="92">
        <v>8599</v>
      </c>
      <c r="BC8" s="92">
        <v>2638</v>
      </c>
      <c r="BE8" s="4">
        <v>5</v>
      </c>
      <c r="BF8" s="92">
        <v>10551</v>
      </c>
      <c r="BG8" s="92">
        <v>15358</v>
      </c>
      <c r="BH8" s="92">
        <v>4375</v>
      </c>
      <c r="BJ8" s="4">
        <v>5</v>
      </c>
      <c r="BK8" s="92">
        <v>6685</v>
      </c>
      <c r="BL8" s="92">
        <v>14669</v>
      </c>
      <c r="BM8" s="92">
        <v>3901</v>
      </c>
      <c r="BO8" s="4">
        <v>5</v>
      </c>
      <c r="BP8" s="92">
        <v>4271</v>
      </c>
      <c r="BQ8" s="92">
        <v>9367</v>
      </c>
      <c r="BR8" s="92">
        <v>3276</v>
      </c>
      <c r="BT8" s="4">
        <v>5</v>
      </c>
      <c r="BU8" s="92">
        <v>5809</v>
      </c>
      <c r="BV8" s="92">
        <v>12522</v>
      </c>
      <c r="BW8" s="92">
        <v>4315</v>
      </c>
      <c r="BZ8" t="s">
        <v>21</v>
      </c>
      <c r="CA8" s="4">
        <v>5</v>
      </c>
      <c r="CB8" s="92">
        <v>11511</v>
      </c>
      <c r="CC8" s="92">
        <v>16663</v>
      </c>
      <c r="CD8" s="92">
        <v>4944</v>
      </c>
      <c r="CF8" s="4">
        <v>5</v>
      </c>
      <c r="CG8" s="92">
        <v>13608</v>
      </c>
      <c r="CH8" s="92">
        <v>26644</v>
      </c>
      <c r="CI8" s="92">
        <v>5908</v>
      </c>
      <c r="CK8" s="4">
        <v>5</v>
      </c>
      <c r="CL8" s="92">
        <v>24820</v>
      </c>
      <c r="CM8" s="92">
        <v>29545</v>
      </c>
      <c r="CN8" s="92">
        <v>7844</v>
      </c>
      <c r="CP8" s="4">
        <v>5</v>
      </c>
      <c r="CQ8" s="92">
        <v>11338</v>
      </c>
      <c r="CR8" s="92">
        <v>20413</v>
      </c>
      <c r="CS8" s="92">
        <v>6216</v>
      </c>
      <c r="CU8" s="4">
        <v>5</v>
      </c>
      <c r="CV8" s="92">
        <v>13533</v>
      </c>
      <c r="CW8" s="92">
        <v>25474</v>
      </c>
      <c r="CX8" s="92">
        <v>6218</v>
      </c>
      <c r="CZ8" s="4">
        <v>5</v>
      </c>
      <c r="DA8" s="92">
        <v>11730</v>
      </c>
      <c r="DB8" s="92">
        <v>23263</v>
      </c>
      <c r="DC8" s="92">
        <v>5276</v>
      </c>
      <c r="DE8" s="4">
        <v>5</v>
      </c>
      <c r="DF8" s="92">
        <v>15775</v>
      </c>
      <c r="DG8" s="92">
        <v>24738</v>
      </c>
      <c r="DH8" s="92">
        <v>7060</v>
      </c>
      <c r="DJ8" s="4">
        <v>5</v>
      </c>
      <c r="DK8" s="92">
        <v>13715</v>
      </c>
      <c r="DL8" s="92">
        <v>18128</v>
      </c>
      <c r="DM8" s="92">
        <v>6039</v>
      </c>
      <c r="DO8" s="4">
        <v>5</v>
      </c>
      <c r="DP8" s="92">
        <v>19607</v>
      </c>
      <c r="DQ8" s="92">
        <v>26980</v>
      </c>
      <c r="DR8" s="92">
        <v>6809</v>
      </c>
      <c r="DT8" s="4">
        <v>5</v>
      </c>
      <c r="DU8" s="92">
        <v>16143</v>
      </c>
      <c r="DV8" s="92">
        <v>23771</v>
      </c>
      <c r="DW8" s="92">
        <v>6307</v>
      </c>
      <c r="DY8" s="4">
        <v>5</v>
      </c>
      <c r="DZ8" s="92">
        <v>3535</v>
      </c>
      <c r="EA8" s="92">
        <v>7379</v>
      </c>
      <c r="EB8" s="92">
        <v>2418</v>
      </c>
      <c r="ED8" s="4">
        <v>5</v>
      </c>
      <c r="EE8" s="92">
        <v>20181</v>
      </c>
      <c r="EF8" s="92">
        <v>19859</v>
      </c>
      <c r="EG8" s="92">
        <v>6009</v>
      </c>
      <c r="EI8" s="4">
        <v>5</v>
      </c>
      <c r="EJ8" s="92">
        <v>18340</v>
      </c>
      <c r="EK8" s="92">
        <v>20309</v>
      </c>
      <c r="EL8" s="92">
        <v>5480</v>
      </c>
      <c r="EN8" s="4">
        <v>5</v>
      </c>
      <c r="EO8" s="92">
        <v>6339</v>
      </c>
      <c r="EP8" s="92">
        <v>12724</v>
      </c>
      <c r="EQ8" s="92">
        <v>3702</v>
      </c>
      <c r="ES8" s="4">
        <v>5</v>
      </c>
      <c r="ET8" s="92">
        <v>8518</v>
      </c>
      <c r="EU8" s="92">
        <v>17242</v>
      </c>
      <c r="EV8" s="92">
        <v>5392</v>
      </c>
      <c r="EY8" s="60" t="s">
        <v>21</v>
      </c>
      <c r="EZ8" s="81">
        <v>6</v>
      </c>
      <c r="FA8" s="98">
        <v>18408</v>
      </c>
      <c r="FB8" s="98">
        <v>35976</v>
      </c>
      <c r="FC8" s="99">
        <v>7985</v>
      </c>
      <c r="FD8" s="82"/>
      <c r="FE8" s="81">
        <v>6</v>
      </c>
      <c r="FF8" s="98">
        <v>20007</v>
      </c>
      <c r="FG8" s="98">
        <v>31668</v>
      </c>
      <c r="FH8" s="99">
        <v>6758</v>
      </c>
      <c r="FI8" s="82"/>
      <c r="FJ8" s="81">
        <v>6</v>
      </c>
      <c r="FK8" s="98">
        <v>54209</v>
      </c>
      <c r="FL8" s="98">
        <v>51060</v>
      </c>
      <c r="FM8" s="99">
        <v>11534</v>
      </c>
      <c r="FN8" s="82"/>
      <c r="FO8" s="81">
        <v>6</v>
      </c>
      <c r="FP8" s="98">
        <v>32325</v>
      </c>
      <c r="FQ8" s="98">
        <v>47064</v>
      </c>
      <c r="FR8" s="99">
        <v>8439</v>
      </c>
      <c r="FS8" s="82"/>
      <c r="FT8" s="81">
        <v>6</v>
      </c>
      <c r="FU8" s="102"/>
      <c r="FV8" s="102"/>
      <c r="FW8" s="103"/>
      <c r="FX8" s="82"/>
      <c r="FY8" s="81">
        <v>6</v>
      </c>
      <c r="FZ8" s="98">
        <v>11000</v>
      </c>
      <c r="GA8" s="98">
        <v>25249</v>
      </c>
      <c r="GB8" s="99">
        <v>5607</v>
      </c>
      <c r="GC8" s="82"/>
      <c r="GD8" s="81">
        <v>6</v>
      </c>
      <c r="GE8" s="98">
        <v>26830</v>
      </c>
      <c r="GF8" s="98">
        <v>27501</v>
      </c>
      <c r="GG8" s="99">
        <v>7254</v>
      </c>
      <c r="GH8" s="82"/>
      <c r="GI8" s="81">
        <v>6</v>
      </c>
      <c r="GJ8" s="98">
        <v>57782</v>
      </c>
      <c r="GK8" s="98">
        <v>49620</v>
      </c>
      <c r="GL8" s="99">
        <v>11168</v>
      </c>
      <c r="GM8" s="82"/>
      <c r="GN8" s="81">
        <v>6</v>
      </c>
      <c r="GO8" s="98">
        <v>42533</v>
      </c>
      <c r="GP8" s="98">
        <v>51091</v>
      </c>
      <c r="GQ8" s="99">
        <v>8723</v>
      </c>
      <c r="GR8" s="82"/>
      <c r="GS8" s="81">
        <v>6</v>
      </c>
      <c r="GT8" s="98">
        <v>18438</v>
      </c>
      <c r="GU8" s="98">
        <v>28165</v>
      </c>
      <c r="GV8" s="99">
        <v>6617</v>
      </c>
      <c r="GW8" s="82"/>
      <c r="GX8" s="81">
        <v>6</v>
      </c>
      <c r="GY8" s="100">
        <v>4786</v>
      </c>
      <c r="GZ8" s="100">
        <v>9803</v>
      </c>
      <c r="HA8" s="101">
        <v>3497</v>
      </c>
      <c r="HB8" s="82"/>
      <c r="HC8" s="81">
        <v>6</v>
      </c>
      <c r="HD8" s="98">
        <v>47455</v>
      </c>
      <c r="HE8" s="98">
        <v>42982</v>
      </c>
      <c r="HF8" s="99">
        <v>8804</v>
      </c>
      <c r="HG8" s="82"/>
      <c r="HH8" s="81">
        <v>6</v>
      </c>
      <c r="HI8" s="98">
        <v>39933</v>
      </c>
      <c r="HJ8" s="98">
        <v>30360</v>
      </c>
      <c r="HK8" s="99">
        <v>7933</v>
      </c>
      <c r="HL8" s="82"/>
      <c r="HM8" s="81">
        <v>6</v>
      </c>
      <c r="HN8" s="102"/>
      <c r="HO8" s="102"/>
      <c r="HP8" s="103"/>
      <c r="HQ8" s="82"/>
      <c r="HR8" s="81">
        <v>6</v>
      </c>
      <c r="HS8" s="98">
        <v>22811</v>
      </c>
      <c r="HT8" s="98">
        <v>33553</v>
      </c>
      <c r="HU8" s="99">
        <v>7355</v>
      </c>
    </row>
    <row r="9" spans="1:229" x14ac:dyDescent="0.25">
      <c r="A9" t="s">
        <v>21</v>
      </c>
      <c r="B9" s="4">
        <v>6</v>
      </c>
      <c r="C9" s="92">
        <v>8523</v>
      </c>
      <c r="D9" s="92">
        <v>15726</v>
      </c>
      <c r="E9" s="92">
        <v>4454</v>
      </c>
      <c r="G9" s="4">
        <v>6</v>
      </c>
      <c r="H9" s="95">
        <v>7547</v>
      </c>
      <c r="I9" s="95">
        <v>15466</v>
      </c>
      <c r="J9" s="95">
        <v>4108</v>
      </c>
      <c r="L9" s="4">
        <v>6</v>
      </c>
      <c r="M9" s="92">
        <v>7194</v>
      </c>
      <c r="N9" s="92">
        <v>18345</v>
      </c>
      <c r="O9" s="92">
        <v>5268</v>
      </c>
      <c r="Q9" s="4">
        <v>6</v>
      </c>
      <c r="R9" s="92">
        <v>5511</v>
      </c>
      <c r="S9" s="92">
        <v>13927</v>
      </c>
      <c r="T9" s="92">
        <v>3774</v>
      </c>
      <c r="V9" s="4">
        <v>6</v>
      </c>
      <c r="W9" s="92">
        <v>7170</v>
      </c>
      <c r="X9" s="92">
        <v>19437</v>
      </c>
      <c r="Y9" s="92">
        <v>4955</v>
      </c>
      <c r="AA9" s="4">
        <v>6</v>
      </c>
      <c r="AB9" s="92">
        <v>4563</v>
      </c>
      <c r="AC9" s="92">
        <v>13960</v>
      </c>
      <c r="AD9" s="92">
        <v>3626</v>
      </c>
      <c r="AF9" s="4">
        <v>6</v>
      </c>
      <c r="AG9" s="92">
        <v>4369</v>
      </c>
      <c r="AH9" s="92">
        <v>11415</v>
      </c>
      <c r="AI9" s="92">
        <v>3273</v>
      </c>
      <c r="AK9" s="4">
        <v>6</v>
      </c>
      <c r="AL9" s="92">
        <v>8399</v>
      </c>
      <c r="AM9" s="92">
        <v>17888</v>
      </c>
      <c r="AN9" s="92">
        <v>4960</v>
      </c>
      <c r="AP9" s="4">
        <v>6</v>
      </c>
      <c r="AQ9" s="92">
        <v>8611</v>
      </c>
      <c r="AR9" s="92">
        <v>17749</v>
      </c>
      <c r="AS9" s="92">
        <v>6633</v>
      </c>
      <c r="AU9" s="4">
        <v>6</v>
      </c>
      <c r="AV9" s="92">
        <v>7888</v>
      </c>
      <c r="AW9" s="92">
        <v>22489</v>
      </c>
      <c r="AX9" s="92">
        <v>5105</v>
      </c>
      <c r="AZ9" s="4">
        <v>6</v>
      </c>
      <c r="BA9" s="92">
        <v>4126</v>
      </c>
      <c r="BB9" s="92">
        <v>9584</v>
      </c>
      <c r="BC9" s="92">
        <v>2870</v>
      </c>
      <c r="BE9" s="4">
        <v>6</v>
      </c>
      <c r="BF9" s="92">
        <v>10579</v>
      </c>
      <c r="BG9" s="92">
        <v>16791</v>
      </c>
      <c r="BH9" s="92">
        <v>4780</v>
      </c>
      <c r="BJ9" s="4">
        <v>6</v>
      </c>
      <c r="BK9" s="92">
        <v>7329</v>
      </c>
      <c r="BL9" s="92">
        <v>11132</v>
      </c>
      <c r="BM9" s="92">
        <v>3670</v>
      </c>
      <c r="BO9" s="4">
        <v>6</v>
      </c>
      <c r="BP9" s="92">
        <v>4730</v>
      </c>
      <c r="BQ9" s="92">
        <v>9812</v>
      </c>
      <c r="BR9" s="92">
        <v>3729</v>
      </c>
      <c r="BT9" s="4">
        <v>6</v>
      </c>
      <c r="BU9" s="92">
        <v>4464</v>
      </c>
      <c r="BV9" s="92">
        <v>11539</v>
      </c>
      <c r="BW9" s="92">
        <v>4444</v>
      </c>
      <c r="BZ9" t="s">
        <v>21</v>
      </c>
      <c r="CA9" s="4">
        <v>6</v>
      </c>
      <c r="CB9" s="92">
        <v>12034</v>
      </c>
      <c r="CC9" s="92">
        <v>22642</v>
      </c>
      <c r="CD9" s="92">
        <v>5674</v>
      </c>
      <c r="CF9" s="4">
        <v>6</v>
      </c>
      <c r="CG9" s="92">
        <v>14072</v>
      </c>
      <c r="CH9" s="92">
        <v>22784</v>
      </c>
      <c r="CI9" s="92">
        <v>5692</v>
      </c>
      <c r="CK9" s="4">
        <v>6</v>
      </c>
      <c r="CL9" s="92">
        <v>29391</v>
      </c>
      <c r="CM9" s="92">
        <v>32896</v>
      </c>
      <c r="CN9" s="92">
        <v>8485</v>
      </c>
      <c r="CP9" s="4">
        <v>6</v>
      </c>
      <c r="CQ9" s="92">
        <v>16546</v>
      </c>
      <c r="CR9" s="92">
        <v>23758</v>
      </c>
      <c r="CS9" s="92">
        <v>6218</v>
      </c>
      <c r="CU9" s="4">
        <v>6</v>
      </c>
      <c r="CV9" s="92">
        <v>10584</v>
      </c>
      <c r="CW9" s="92">
        <v>22002</v>
      </c>
      <c r="CX9" s="92">
        <v>5899</v>
      </c>
      <c r="CZ9" s="4">
        <v>6</v>
      </c>
      <c r="DA9" s="92">
        <v>8550</v>
      </c>
      <c r="DB9" s="92">
        <v>17939</v>
      </c>
      <c r="DC9" s="92">
        <v>5064</v>
      </c>
      <c r="DE9" s="4">
        <v>6</v>
      </c>
      <c r="DF9" s="92">
        <v>11897</v>
      </c>
      <c r="DG9" s="92">
        <v>18607</v>
      </c>
      <c r="DH9" s="92">
        <v>5002</v>
      </c>
      <c r="DJ9" s="4">
        <v>6</v>
      </c>
      <c r="DK9" s="92">
        <v>24942</v>
      </c>
      <c r="DL9" s="92">
        <v>38425</v>
      </c>
      <c r="DM9" s="92">
        <v>6308</v>
      </c>
      <c r="DO9" s="4">
        <v>6</v>
      </c>
      <c r="DP9" s="92">
        <v>21977</v>
      </c>
      <c r="DQ9" s="92">
        <v>34249</v>
      </c>
      <c r="DR9" s="92">
        <v>9000</v>
      </c>
      <c r="DT9" s="4">
        <v>6</v>
      </c>
      <c r="DU9" s="92">
        <v>10660</v>
      </c>
      <c r="DV9" s="92">
        <v>19912</v>
      </c>
      <c r="DW9" s="92">
        <v>5901</v>
      </c>
      <c r="DY9" s="4">
        <v>6</v>
      </c>
      <c r="DZ9" s="92">
        <v>4796</v>
      </c>
      <c r="EA9" s="92">
        <v>9164</v>
      </c>
      <c r="EB9" s="92">
        <v>3543</v>
      </c>
      <c r="ED9" s="4">
        <v>6</v>
      </c>
      <c r="EE9" s="92">
        <v>25090</v>
      </c>
      <c r="EF9" s="92">
        <v>23650</v>
      </c>
      <c r="EG9" s="92">
        <v>6583</v>
      </c>
      <c r="EI9" s="4">
        <v>6</v>
      </c>
      <c r="EJ9" s="92">
        <v>18073</v>
      </c>
      <c r="EK9" s="92">
        <v>19548</v>
      </c>
      <c r="EL9" s="92">
        <v>5726</v>
      </c>
      <c r="EN9" s="4">
        <v>6</v>
      </c>
      <c r="EO9" s="92">
        <v>8964</v>
      </c>
      <c r="EP9" s="92">
        <v>15851</v>
      </c>
      <c r="EQ9" s="92">
        <v>4286</v>
      </c>
      <c r="ES9" s="4">
        <v>6</v>
      </c>
      <c r="ET9" s="92">
        <v>9678</v>
      </c>
      <c r="EU9" s="92">
        <v>21349</v>
      </c>
      <c r="EV9" s="92">
        <v>5754</v>
      </c>
      <c r="EY9" s="60" t="s">
        <v>21</v>
      </c>
      <c r="EZ9" s="81">
        <v>7</v>
      </c>
      <c r="FA9" s="98">
        <v>9915</v>
      </c>
      <c r="FB9" s="98">
        <v>18678</v>
      </c>
      <c r="FC9" s="99">
        <v>5198</v>
      </c>
      <c r="FD9" s="82"/>
      <c r="FE9" s="81">
        <v>7</v>
      </c>
      <c r="FF9" s="98">
        <v>18651</v>
      </c>
      <c r="FG9" s="98">
        <v>25186</v>
      </c>
      <c r="FH9" s="99">
        <v>6357</v>
      </c>
      <c r="FI9" s="82"/>
      <c r="FJ9" s="81">
        <v>7</v>
      </c>
      <c r="FK9" s="98">
        <v>48210</v>
      </c>
      <c r="FL9" s="98">
        <v>59390</v>
      </c>
      <c r="FM9" s="99">
        <v>9908</v>
      </c>
      <c r="FN9" s="82"/>
      <c r="FO9" s="81">
        <v>7</v>
      </c>
      <c r="FP9" s="98">
        <v>20811</v>
      </c>
      <c r="FQ9" s="98">
        <v>28289</v>
      </c>
      <c r="FR9" s="99">
        <v>5900</v>
      </c>
      <c r="FS9" s="82"/>
      <c r="FT9" s="81">
        <v>7</v>
      </c>
      <c r="FU9" s="98">
        <v>3564</v>
      </c>
      <c r="FV9" s="98">
        <v>8783</v>
      </c>
      <c r="FW9" s="99">
        <v>2817</v>
      </c>
      <c r="FX9" s="82"/>
      <c r="FY9" s="81">
        <v>7</v>
      </c>
      <c r="FZ9" s="98">
        <v>14381</v>
      </c>
      <c r="GA9" s="98">
        <v>22222</v>
      </c>
      <c r="GB9" s="99">
        <v>5407</v>
      </c>
      <c r="GC9" s="82"/>
      <c r="GD9" s="81">
        <v>7</v>
      </c>
      <c r="GE9" s="98">
        <v>35652</v>
      </c>
      <c r="GF9" s="98">
        <v>37049</v>
      </c>
      <c r="GG9" s="99">
        <v>8211</v>
      </c>
      <c r="GH9" s="82"/>
      <c r="GI9" s="81">
        <v>7</v>
      </c>
      <c r="GJ9" s="98">
        <v>51942</v>
      </c>
      <c r="GK9" s="98">
        <v>53815</v>
      </c>
      <c r="GL9" s="99">
        <v>9652</v>
      </c>
      <c r="GM9" s="82"/>
      <c r="GN9" s="81">
        <v>7</v>
      </c>
      <c r="GO9" s="98">
        <v>35390</v>
      </c>
      <c r="GP9" s="98">
        <v>49821</v>
      </c>
      <c r="GQ9" s="99">
        <v>8395</v>
      </c>
      <c r="GR9" s="82"/>
      <c r="GS9" s="81">
        <v>7</v>
      </c>
      <c r="GT9" s="102"/>
      <c r="GU9" s="102"/>
      <c r="GV9" s="103"/>
      <c r="GW9" s="82"/>
      <c r="GX9" s="81">
        <v>7</v>
      </c>
      <c r="GY9" s="102"/>
      <c r="GZ9" s="102"/>
      <c r="HA9" s="103"/>
      <c r="HB9" s="82"/>
      <c r="HC9" s="81">
        <v>7</v>
      </c>
      <c r="HD9" s="98">
        <v>46077</v>
      </c>
      <c r="HE9" s="98">
        <v>60329</v>
      </c>
      <c r="HF9" s="99">
        <v>9645</v>
      </c>
      <c r="HG9" s="82"/>
      <c r="HH9" s="81">
        <v>7</v>
      </c>
      <c r="HI9" s="98">
        <v>40124</v>
      </c>
      <c r="HJ9" s="98">
        <v>30961</v>
      </c>
      <c r="HK9" s="99">
        <v>8640</v>
      </c>
      <c r="HL9" s="82"/>
      <c r="HM9" s="81">
        <v>7</v>
      </c>
      <c r="HN9" s="111"/>
      <c r="HO9" s="111"/>
      <c r="HP9" s="112"/>
      <c r="HQ9" s="60"/>
      <c r="HR9" s="81">
        <v>7</v>
      </c>
      <c r="HS9" s="98">
        <v>35108</v>
      </c>
      <c r="HT9" s="98">
        <v>39482</v>
      </c>
      <c r="HU9" s="99">
        <v>9295</v>
      </c>
    </row>
    <row r="10" spans="1:229" x14ac:dyDescent="0.25">
      <c r="A10" t="s">
        <v>21</v>
      </c>
      <c r="B10" s="4">
        <v>7</v>
      </c>
      <c r="C10" s="92">
        <v>7085</v>
      </c>
      <c r="D10" s="92">
        <v>13886</v>
      </c>
      <c r="E10" s="92">
        <v>4574</v>
      </c>
      <c r="G10" s="4">
        <v>7</v>
      </c>
      <c r="H10" s="95">
        <v>2978</v>
      </c>
      <c r="I10" s="95">
        <v>8414</v>
      </c>
      <c r="J10" s="95">
        <v>3070</v>
      </c>
      <c r="L10" s="4">
        <v>7</v>
      </c>
      <c r="M10" s="92">
        <v>8605</v>
      </c>
      <c r="N10" s="92">
        <v>21265</v>
      </c>
      <c r="O10" s="92">
        <v>4943</v>
      </c>
      <c r="Q10" s="4">
        <v>7</v>
      </c>
      <c r="R10" s="92">
        <v>5836</v>
      </c>
      <c r="S10" s="92">
        <v>13612</v>
      </c>
      <c r="T10" s="92">
        <v>5586</v>
      </c>
      <c r="V10" s="4">
        <v>7</v>
      </c>
      <c r="W10" s="92">
        <v>7558</v>
      </c>
      <c r="X10" s="92">
        <v>18653</v>
      </c>
      <c r="Y10" s="92">
        <v>5200</v>
      </c>
      <c r="AA10" s="4">
        <v>7</v>
      </c>
      <c r="AB10" s="92">
        <v>5138</v>
      </c>
      <c r="AC10" s="92">
        <v>14971</v>
      </c>
      <c r="AD10" s="92">
        <v>3629</v>
      </c>
      <c r="AF10" s="4">
        <v>7</v>
      </c>
      <c r="AG10" s="92">
        <v>5533</v>
      </c>
      <c r="AH10" s="92">
        <v>13318</v>
      </c>
      <c r="AI10" s="92">
        <v>4122</v>
      </c>
      <c r="AK10" s="4">
        <v>7</v>
      </c>
      <c r="AL10" s="92">
        <v>11364</v>
      </c>
      <c r="AM10" s="92">
        <v>23259</v>
      </c>
      <c r="AN10" s="92">
        <v>5215</v>
      </c>
      <c r="AP10" s="4">
        <v>7</v>
      </c>
      <c r="AQ10" s="92">
        <v>8711</v>
      </c>
      <c r="AR10" s="92">
        <v>14739</v>
      </c>
      <c r="AS10" s="92">
        <v>5132</v>
      </c>
      <c r="AU10" s="4">
        <v>7</v>
      </c>
      <c r="AV10" s="92">
        <v>7795</v>
      </c>
      <c r="AW10" s="92">
        <v>17886</v>
      </c>
      <c r="AX10" s="92">
        <v>4644</v>
      </c>
      <c r="AZ10" s="4">
        <v>7</v>
      </c>
      <c r="BA10" s="92">
        <v>2987</v>
      </c>
      <c r="BB10" s="92">
        <v>10667</v>
      </c>
      <c r="BC10" s="92">
        <v>3155</v>
      </c>
      <c r="BE10" s="4">
        <v>7</v>
      </c>
      <c r="BF10" s="92">
        <v>8130</v>
      </c>
      <c r="BG10" s="92">
        <v>17429</v>
      </c>
      <c r="BH10" s="92">
        <v>4939</v>
      </c>
      <c r="BJ10" s="4">
        <v>7</v>
      </c>
      <c r="BK10" s="92">
        <v>11347</v>
      </c>
      <c r="BL10" s="92">
        <v>14524</v>
      </c>
      <c r="BM10" s="92">
        <v>4832</v>
      </c>
      <c r="BO10" s="4">
        <v>7</v>
      </c>
      <c r="BP10" s="92">
        <v>3275</v>
      </c>
      <c r="BQ10" s="92">
        <v>7034</v>
      </c>
      <c r="BR10" s="92">
        <v>1994</v>
      </c>
      <c r="BT10" s="4">
        <v>7</v>
      </c>
      <c r="BU10" s="92">
        <v>7492</v>
      </c>
      <c r="BV10" s="92">
        <v>16920</v>
      </c>
      <c r="BW10" s="92">
        <v>4439</v>
      </c>
      <c r="BZ10" t="s">
        <v>21</v>
      </c>
      <c r="CA10" s="4">
        <v>7</v>
      </c>
      <c r="CB10" s="92">
        <v>8705</v>
      </c>
      <c r="CC10" s="92">
        <v>15320</v>
      </c>
      <c r="CD10" s="92">
        <v>4266</v>
      </c>
      <c r="CF10" s="4">
        <v>7</v>
      </c>
      <c r="CG10" s="92">
        <v>15096</v>
      </c>
      <c r="CH10" s="92">
        <v>19828</v>
      </c>
      <c r="CI10" s="92">
        <v>5657</v>
      </c>
      <c r="CK10" s="4">
        <v>7</v>
      </c>
      <c r="CL10" s="92">
        <v>31015</v>
      </c>
      <c r="CM10" s="92">
        <v>38875</v>
      </c>
      <c r="CN10" s="92">
        <v>8312</v>
      </c>
      <c r="CP10" s="4">
        <v>7</v>
      </c>
      <c r="CQ10" s="92">
        <v>13954</v>
      </c>
      <c r="CR10" s="92">
        <v>23102</v>
      </c>
      <c r="CS10" s="92">
        <v>6659</v>
      </c>
      <c r="CU10" s="4">
        <v>7</v>
      </c>
      <c r="CV10" s="92">
        <v>12344</v>
      </c>
      <c r="CW10" s="92">
        <v>23160</v>
      </c>
      <c r="CX10" s="92">
        <v>5547</v>
      </c>
      <c r="CZ10" s="4">
        <v>7</v>
      </c>
      <c r="DA10" s="92">
        <v>9170</v>
      </c>
      <c r="DB10" s="92">
        <v>16280</v>
      </c>
      <c r="DC10" s="92">
        <v>4745</v>
      </c>
      <c r="DE10" s="4">
        <v>7</v>
      </c>
      <c r="DF10" s="92">
        <v>13173</v>
      </c>
      <c r="DG10" s="92">
        <v>23560</v>
      </c>
      <c r="DH10" s="92">
        <v>6239</v>
      </c>
      <c r="DJ10" s="4">
        <v>7</v>
      </c>
      <c r="DK10" s="92">
        <v>23720</v>
      </c>
      <c r="DL10" s="92">
        <v>34908</v>
      </c>
      <c r="DM10" s="92">
        <v>7204</v>
      </c>
      <c r="DO10" s="4">
        <v>7</v>
      </c>
      <c r="DP10" s="92">
        <v>23316</v>
      </c>
      <c r="DQ10" s="92">
        <v>26309</v>
      </c>
      <c r="DR10" s="92">
        <v>7257</v>
      </c>
      <c r="DT10" s="4">
        <v>7</v>
      </c>
      <c r="DU10" s="92">
        <v>9387</v>
      </c>
      <c r="DV10" s="92">
        <v>17128</v>
      </c>
      <c r="DW10" s="92">
        <v>4480</v>
      </c>
      <c r="DY10" s="4">
        <v>7</v>
      </c>
      <c r="DZ10" s="92">
        <v>7390</v>
      </c>
      <c r="EA10" s="92">
        <v>14246</v>
      </c>
      <c r="EB10" s="92">
        <v>3403</v>
      </c>
      <c r="ED10" s="4">
        <v>7</v>
      </c>
      <c r="EE10" s="92">
        <v>20694</v>
      </c>
      <c r="EF10" s="92">
        <v>31516</v>
      </c>
      <c r="EG10" s="92">
        <v>6637</v>
      </c>
      <c r="EI10" s="4">
        <v>7</v>
      </c>
      <c r="EJ10" s="92">
        <v>20970</v>
      </c>
      <c r="EK10" s="92">
        <v>20800</v>
      </c>
      <c r="EL10" s="92">
        <v>6389</v>
      </c>
      <c r="EN10" s="4">
        <v>7</v>
      </c>
      <c r="EO10" s="97"/>
      <c r="EP10" s="97"/>
      <c r="EQ10" s="97"/>
      <c r="ES10" s="4">
        <v>7</v>
      </c>
      <c r="ET10" s="92">
        <v>21981</v>
      </c>
      <c r="EU10" s="92">
        <v>26685</v>
      </c>
      <c r="EV10" s="92">
        <v>6808</v>
      </c>
      <c r="EY10" s="60" t="s">
        <v>21</v>
      </c>
      <c r="EZ10" s="81">
        <v>8</v>
      </c>
      <c r="FA10" s="102"/>
      <c r="FB10" s="102"/>
      <c r="FC10" s="103"/>
      <c r="FD10" s="82"/>
      <c r="FE10" s="81">
        <v>8</v>
      </c>
      <c r="FF10" s="98">
        <v>6094</v>
      </c>
      <c r="FG10" s="98">
        <v>9474</v>
      </c>
      <c r="FH10" s="99">
        <v>3656</v>
      </c>
      <c r="FI10" s="82"/>
      <c r="FJ10" s="81">
        <v>8</v>
      </c>
      <c r="FK10" s="113"/>
      <c r="FL10" s="113"/>
      <c r="FM10" s="114"/>
      <c r="FN10" s="82"/>
      <c r="FO10" s="81">
        <v>8</v>
      </c>
      <c r="FP10" s="98">
        <v>31300</v>
      </c>
      <c r="FQ10" s="98">
        <v>34497</v>
      </c>
      <c r="FR10" s="99">
        <v>7450</v>
      </c>
      <c r="FS10" s="82"/>
      <c r="FT10" s="81">
        <v>8</v>
      </c>
      <c r="FU10" s="102"/>
      <c r="FV10" s="102"/>
      <c r="FW10" s="103"/>
      <c r="FX10" s="82"/>
      <c r="FY10" s="81">
        <v>8</v>
      </c>
      <c r="FZ10" s="98">
        <v>22530</v>
      </c>
      <c r="GA10" s="98">
        <v>27745</v>
      </c>
      <c r="GB10" s="99">
        <v>5745</v>
      </c>
      <c r="GC10" s="82"/>
      <c r="GD10" s="81">
        <v>8</v>
      </c>
      <c r="GE10" s="98">
        <v>35911</v>
      </c>
      <c r="GF10" s="98">
        <v>35532</v>
      </c>
      <c r="GG10" s="99">
        <v>7598</v>
      </c>
      <c r="GH10" s="82"/>
      <c r="GI10" s="81">
        <v>8</v>
      </c>
      <c r="GJ10" s="102"/>
      <c r="GK10" s="102"/>
      <c r="GL10" s="103"/>
      <c r="GM10" s="82"/>
      <c r="GN10" s="81">
        <v>8</v>
      </c>
      <c r="GO10" s="98">
        <v>33872</v>
      </c>
      <c r="GP10" s="98">
        <v>46381</v>
      </c>
      <c r="GQ10" s="99">
        <v>7668</v>
      </c>
      <c r="GR10" s="82"/>
      <c r="GS10" s="81">
        <v>8</v>
      </c>
      <c r="GT10" s="98">
        <v>21680</v>
      </c>
      <c r="GU10" s="98">
        <v>23100</v>
      </c>
      <c r="GV10" s="99">
        <v>6138</v>
      </c>
      <c r="GW10" s="82"/>
      <c r="GX10" s="81">
        <v>8</v>
      </c>
      <c r="GY10" s="60"/>
      <c r="GZ10" s="60"/>
      <c r="HA10" s="86"/>
      <c r="HB10" s="60"/>
      <c r="HC10" s="81">
        <v>8</v>
      </c>
      <c r="HD10" s="98">
        <v>52453</v>
      </c>
      <c r="HE10" s="98">
        <v>39633</v>
      </c>
      <c r="HF10" s="99">
        <v>8540</v>
      </c>
      <c r="HG10" s="82"/>
      <c r="HH10" s="81">
        <v>8</v>
      </c>
      <c r="HI10" s="98">
        <v>28236</v>
      </c>
      <c r="HJ10" s="98">
        <v>27683</v>
      </c>
      <c r="HK10" s="99">
        <v>7011</v>
      </c>
      <c r="HL10" s="82"/>
      <c r="HM10" s="81">
        <v>8</v>
      </c>
      <c r="HN10" s="111"/>
      <c r="HO10" s="111"/>
      <c r="HP10" s="112"/>
      <c r="HQ10" s="60"/>
      <c r="HR10" s="81">
        <v>8</v>
      </c>
      <c r="HS10" s="98">
        <v>26946</v>
      </c>
      <c r="HT10" s="98">
        <v>44542</v>
      </c>
      <c r="HU10" s="99">
        <v>8361</v>
      </c>
    </row>
    <row r="11" spans="1:229" x14ac:dyDescent="0.25">
      <c r="A11" t="s">
        <v>21</v>
      </c>
      <c r="B11" s="4">
        <v>8</v>
      </c>
      <c r="C11" s="92">
        <v>7338</v>
      </c>
      <c r="D11" s="92">
        <v>15702</v>
      </c>
      <c r="E11" s="92">
        <v>4408</v>
      </c>
      <c r="G11" s="4">
        <v>8</v>
      </c>
      <c r="H11" s="95">
        <v>5531</v>
      </c>
      <c r="I11" s="95">
        <v>10117</v>
      </c>
      <c r="J11" s="95">
        <v>3603</v>
      </c>
      <c r="L11" s="4">
        <v>8</v>
      </c>
      <c r="M11" s="92">
        <v>6227</v>
      </c>
      <c r="N11" s="92">
        <v>15176</v>
      </c>
      <c r="O11" s="92">
        <v>4653</v>
      </c>
      <c r="Q11" s="4">
        <v>8</v>
      </c>
      <c r="R11" s="92">
        <v>5543</v>
      </c>
      <c r="S11" s="92">
        <v>12430</v>
      </c>
      <c r="T11" s="92">
        <v>3363</v>
      </c>
      <c r="V11" s="4">
        <v>8</v>
      </c>
      <c r="W11" s="92">
        <v>5555</v>
      </c>
      <c r="X11" s="92">
        <v>17508</v>
      </c>
      <c r="Y11" s="92">
        <v>3752</v>
      </c>
      <c r="AA11" s="4">
        <v>8</v>
      </c>
      <c r="AB11" s="92">
        <v>6743</v>
      </c>
      <c r="AC11" s="92">
        <v>14014</v>
      </c>
      <c r="AD11" s="92">
        <v>4515</v>
      </c>
      <c r="AF11" s="4">
        <v>8</v>
      </c>
      <c r="AG11" s="92">
        <v>8713</v>
      </c>
      <c r="AH11" s="92">
        <v>16309</v>
      </c>
      <c r="AI11" s="92">
        <v>4465</v>
      </c>
      <c r="AK11" s="4">
        <v>8</v>
      </c>
      <c r="AL11" s="92">
        <v>5435</v>
      </c>
      <c r="AM11" s="92">
        <v>14250</v>
      </c>
      <c r="AN11" s="92">
        <v>4643</v>
      </c>
      <c r="AP11" s="4">
        <v>8</v>
      </c>
      <c r="AQ11" s="92">
        <v>7539</v>
      </c>
      <c r="AR11" s="92">
        <v>18556</v>
      </c>
      <c r="AS11" s="92">
        <v>3559</v>
      </c>
      <c r="AU11" s="4">
        <v>8</v>
      </c>
      <c r="AV11" s="92">
        <v>7532</v>
      </c>
      <c r="AW11" s="92">
        <v>19141</v>
      </c>
      <c r="AX11" s="92">
        <v>4737</v>
      </c>
      <c r="BE11" s="4">
        <v>8</v>
      </c>
      <c r="BF11" s="92">
        <v>12609</v>
      </c>
      <c r="BG11" s="92">
        <v>18720</v>
      </c>
      <c r="BH11" s="92">
        <v>4934</v>
      </c>
      <c r="BJ11" s="4">
        <v>8</v>
      </c>
      <c r="BK11" s="92">
        <v>4620</v>
      </c>
      <c r="BL11" s="92">
        <v>9075</v>
      </c>
      <c r="BM11" s="92">
        <v>3066</v>
      </c>
      <c r="BT11" s="4">
        <v>8</v>
      </c>
      <c r="BU11" s="92">
        <v>5891</v>
      </c>
      <c r="BV11" s="92">
        <v>14246</v>
      </c>
      <c r="BW11" s="92">
        <v>4974</v>
      </c>
      <c r="BZ11" t="s">
        <v>21</v>
      </c>
      <c r="CA11" s="4">
        <v>8</v>
      </c>
      <c r="CB11" s="97"/>
      <c r="CC11" s="97"/>
      <c r="CD11" s="97"/>
      <c r="CF11" s="4">
        <v>8</v>
      </c>
      <c r="CG11" s="96">
        <v>5937</v>
      </c>
      <c r="CH11" s="96">
        <v>10368</v>
      </c>
      <c r="CI11" s="96">
        <v>3729</v>
      </c>
      <c r="CK11" s="4">
        <v>8</v>
      </c>
      <c r="CL11" s="92">
        <v>12961</v>
      </c>
      <c r="CM11" s="92">
        <v>21128</v>
      </c>
      <c r="CN11" s="92">
        <v>6833</v>
      </c>
      <c r="CP11" s="4">
        <v>8</v>
      </c>
      <c r="CQ11" s="92">
        <v>12503</v>
      </c>
      <c r="CR11" s="92">
        <v>15797</v>
      </c>
      <c r="CS11" s="92">
        <v>4758</v>
      </c>
      <c r="CU11" s="4">
        <v>8</v>
      </c>
      <c r="CV11" s="92">
        <v>6167</v>
      </c>
      <c r="CW11" s="92">
        <v>13047</v>
      </c>
      <c r="CX11" s="92">
        <v>4389</v>
      </c>
      <c r="CZ11" s="4">
        <v>8</v>
      </c>
      <c r="DA11" s="92">
        <v>22582</v>
      </c>
      <c r="DB11" s="92">
        <v>31862</v>
      </c>
      <c r="DC11" s="92">
        <v>6462</v>
      </c>
      <c r="DE11" s="4">
        <v>8</v>
      </c>
      <c r="DF11" s="92">
        <v>19217</v>
      </c>
      <c r="DG11" s="92">
        <v>21798</v>
      </c>
      <c r="DH11" s="92">
        <v>5635</v>
      </c>
      <c r="DJ11" s="4">
        <v>8</v>
      </c>
      <c r="DK11" s="92">
        <v>8780</v>
      </c>
      <c r="DL11" s="92">
        <v>16517</v>
      </c>
      <c r="DM11" s="92">
        <v>5490</v>
      </c>
      <c r="DO11" s="4">
        <v>8</v>
      </c>
      <c r="DP11" s="92">
        <v>16274</v>
      </c>
      <c r="DQ11" s="92">
        <v>27047</v>
      </c>
      <c r="DR11" s="92">
        <v>5907</v>
      </c>
      <c r="DT11" s="4">
        <v>8</v>
      </c>
      <c r="DU11" s="92">
        <v>15785</v>
      </c>
      <c r="DV11" s="92">
        <v>23091</v>
      </c>
      <c r="DW11" s="92">
        <v>5714</v>
      </c>
      <c r="DY11" s="4">
        <v>8</v>
      </c>
      <c r="ED11" s="4">
        <v>8</v>
      </c>
      <c r="EE11" s="92">
        <v>27923</v>
      </c>
      <c r="EF11" s="92">
        <v>23720</v>
      </c>
      <c r="EG11" s="92">
        <v>6559</v>
      </c>
      <c r="EI11" s="4">
        <v>8</v>
      </c>
      <c r="EJ11" s="92">
        <v>11568</v>
      </c>
      <c r="EK11" s="92">
        <v>18565</v>
      </c>
      <c r="EL11" s="92">
        <v>4833</v>
      </c>
      <c r="EN11" s="4">
        <v>8</v>
      </c>
      <c r="ES11" s="4">
        <v>8</v>
      </c>
      <c r="ET11" s="92">
        <v>11684</v>
      </c>
      <c r="EU11" s="92">
        <v>25814</v>
      </c>
      <c r="EV11" s="92">
        <v>6480</v>
      </c>
      <c r="EY11" s="60" t="s">
        <v>21</v>
      </c>
      <c r="EZ11" s="81">
        <v>9</v>
      </c>
      <c r="FA11" s="98">
        <v>15260</v>
      </c>
      <c r="FB11" s="98">
        <v>24009</v>
      </c>
      <c r="FC11" s="99">
        <v>5071</v>
      </c>
      <c r="FD11" s="82"/>
      <c r="FE11" s="81">
        <v>9</v>
      </c>
      <c r="FF11" s="98">
        <v>20305</v>
      </c>
      <c r="FG11" s="98">
        <v>30046</v>
      </c>
      <c r="FH11" s="99">
        <v>7563</v>
      </c>
      <c r="FI11" s="82"/>
      <c r="FJ11" s="81">
        <v>9</v>
      </c>
      <c r="FK11" s="98">
        <v>42152</v>
      </c>
      <c r="FL11" s="98">
        <v>48882</v>
      </c>
      <c r="FM11" s="99">
        <v>9037</v>
      </c>
      <c r="FN11" s="82"/>
      <c r="FO11" s="81">
        <v>9</v>
      </c>
      <c r="FP11" s="98">
        <v>35707</v>
      </c>
      <c r="FQ11" s="98">
        <v>37333</v>
      </c>
      <c r="FR11" s="99">
        <v>8756</v>
      </c>
      <c r="FS11" s="82"/>
      <c r="FT11" s="81">
        <v>9</v>
      </c>
      <c r="FU11" s="102"/>
      <c r="FV11" s="102"/>
      <c r="FW11" s="103"/>
      <c r="FX11" s="82"/>
      <c r="FY11" s="81">
        <v>9</v>
      </c>
      <c r="FZ11" s="98">
        <v>10130</v>
      </c>
      <c r="GA11" s="98">
        <v>19365</v>
      </c>
      <c r="GB11" s="99">
        <v>6210</v>
      </c>
      <c r="GC11" s="82"/>
      <c r="GD11" s="81">
        <v>9</v>
      </c>
      <c r="GE11" s="98">
        <v>34040</v>
      </c>
      <c r="GF11" s="98">
        <v>35922</v>
      </c>
      <c r="GG11" s="99">
        <v>8211</v>
      </c>
      <c r="GH11" s="82"/>
      <c r="GI11" s="81">
        <v>9</v>
      </c>
      <c r="GJ11" s="98">
        <v>35666</v>
      </c>
      <c r="GK11" s="98">
        <v>48420</v>
      </c>
      <c r="GL11" s="99">
        <v>8419</v>
      </c>
      <c r="GM11" s="82"/>
      <c r="GN11" s="81">
        <v>9</v>
      </c>
      <c r="GO11" s="98">
        <v>49784</v>
      </c>
      <c r="GP11" s="98">
        <v>47707</v>
      </c>
      <c r="GQ11" s="99">
        <v>10228</v>
      </c>
      <c r="GR11" s="82"/>
      <c r="GS11" s="81">
        <v>9</v>
      </c>
      <c r="GT11" s="102"/>
      <c r="GU11" s="102"/>
      <c r="GV11" s="103"/>
      <c r="GW11" s="82"/>
      <c r="GX11" s="81">
        <v>9</v>
      </c>
      <c r="GY11" s="60"/>
      <c r="GZ11" s="60"/>
      <c r="HA11" s="86"/>
      <c r="HB11" s="60"/>
      <c r="HC11" s="81">
        <v>9</v>
      </c>
      <c r="HD11" s="98">
        <v>44625</v>
      </c>
      <c r="HE11" s="98">
        <v>43898</v>
      </c>
      <c r="HF11" s="99">
        <v>10104</v>
      </c>
      <c r="HG11" s="82"/>
      <c r="HH11" s="81">
        <v>9</v>
      </c>
      <c r="HI11" s="60"/>
      <c r="HJ11" s="60"/>
      <c r="HK11" s="86"/>
      <c r="HL11" s="60"/>
      <c r="HM11" s="81">
        <v>9</v>
      </c>
      <c r="HN11" s="60"/>
      <c r="HO11" s="60"/>
      <c r="HP11" s="86"/>
      <c r="HQ11" s="60"/>
      <c r="HR11" s="81">
        <v>9</v>
      </c>
      <c r="HS11" s="98">
        <v>26329</v>
      </c>
      <c r="HT11" s="98">
        <v>43155</v>
      </c>
      <c r="HU11" s="99">
        <v>8501</v>
      </c>
    </row>
    <row r="12" spans="1:229" x14ac:dyDescent="0.25">
      <c r="A12" t="s">
        <v>21</v>
      </c>
      <c r="B12" s="4">
        <v>9</v>
      </c>
      <c r="C12" s="92">
        <v>6004</v>
      </c>
      <c r="D12" s="92">
        <v>13646</v>
      </c>
      <c r="E12" s="92">
        <v>4763</v>
      </c>
      <c r="G12" s="4">
        <v>9</v>
      </c>
      <c r="H12" s="95">
        <v>6234</v>
      </c>
      <c r="I12" s="95">
        <v>14303</v>
      </c>
      <c r="J12" s="95">
        <v>3988</v>
      </c>
      <c r="L12" s="4">
        <v>9</v>
      </c>
      <c r="M12" s="92">
        <v>7107</v>
      </c>
      <c r="N12" s="92">
        <v>11813</v>
      </c>
      <c r="O12" s="92">
        <v>4051</v>
      </c>
      <c r="Q12" s="4">
        <v>9</v>
      </c>
      <c r="R12" s="92">
        <v>8199</v>
      </c>
      <c r="S12" s="92">
        <v>16249</v>
      </c>
      <c r="T12" s="92">
        <v>5407</v>
      </c>
      <c r="V12" s="4">
        <v>9</v>
      </c>
      <c r="W12" s="92">
        <v>4710</v>
      </c>
      <c r="X12" s="92">
        <v>11274</v>
      </c>
      <c r="Y12" s="92">
        <v>3540</v>
      </c>
      <c r="AA12" s="4">
        <v>9</v>
      </c>
      <c r="AB12" s="92">
        <v>5732</v>
      </c>
      <c r="AC12" s="92">
        <v>13733</v>
      </c>
      <c r="AD12" s="92">
        <v>3882</v>
      </c>
      <c r="AF12" s="4">
        <v>9</v>
      </c>
      <c r="AG12" s="92">
        <v>8040</v>
      </c>
      <c r="AH12" s="92">
        <v>14650</v>
      </c>
      <c r="AI12" s="92">
        <v>4883</v>
      </c>
      <c r="AK12" s="4">
        <v>9</v>
      </c>
      <c r="AL12" s="92">
        <v>6580</v>
      </c>
      <c r="AM12" s="92">
        <v>14531</v>
      </c>
      <c r="AN12" s="92">
        <v>3529</v>
      </c>
      <c r="AP12" s="4">
        <v>9</v>
      </c>
      <c r="AQ12" s="92">
        <v>6823</v>
      </c>
      <c r="AR12" s="92">
        <v>13497</v>
      </c>
      <c r="AS12" s="92">
        <v>4015</v>
      </c>
      <c r="AU12" s="4">
        <v>9</v>
      </c>
      <c r="AV12" s="92">
        <v>5615</v>
      </c>
      <c r="AW12" s="92">
        <v>14364</v>
      </c>
      <c r="AX12" s="92">
        <v>3900</v>
      </c>
      <c r="BE12" s="4">
        <v>9</v>
      </c>
      <c r="BF12" s="92">
        <v>9249</v>
      </c>
      <c r="BG12" s="92">
        <v>16806</v>
      </c>
      <c r="BH12" s="92">
        <v>6499</v>
      </c>
      <c r="BT12" s="4">
        <v>9</v>
      </c>
      <c r="BU12" s="92">
        <v>4697</v>
      </c>
      <c r="BV12" s="92">
        <v>11200</v>
      </c>
      <c r="BW12" s="92">
        <v>4471</v>
      </c>
      <c r="BZ12" t="s">
        <v>21</v>
      </c>
      <c r="CA12" s="4">
        <v>9</v>
      </c>
      <c r="CB12" s="92">
        <v>14437</v>
      </c>
      <c r="CC12" s="92">
        <v>17750</v>
      </c>
      <c r="CD12" s="92">
        <v>4636</v>
      </c>
      <c r="CF12" s="4">
        <v>9</v>
      </c>
      <c r="CG12" s="92">
        <v>15631</v>
      </c>
      <c r="CH12" s="92">
        <v>22264</v>
      </c>
      <c r="CI12" s="92">
        <v>6292</v>
      </c>
      <c r="CK12" s="4">
        <v>9</v>
      </c>
      <c r="CL12" s="92">
        <v>21678</v>
      </c>
      <c r="CM12" s="92">
        <v>27465</v>
      </c>
      <c r="CN12" s="92">
        <v>6971</v>
      </c>
      <c r="CP12" s="4">
        <v>9</v>
      </c>
      <c r="CQ12" s="92">
        <v>13675</v>
      </c>
      <c r="CR12" s="92">
        <v>25682</v>
      </c>
      <c r="CS12" s="92">
        <v>6872</v>
      </c>
      <c r="CU12" s="4">
        <v>9</v>
      </c>
      <c r="CV12" s="92">
        <v>8754</v>
      </c>
      <c r="CW12" s="92">
        <v>14700</v>
      </c>
      <c r="CX12" s="92">
        <v>4891</v>
      </c>
      <c r="CZ12" s="4">
        <v>9</v>
      </c>
      <c r="DA12" s="92">
        <v>10043</v>
      </c>
      <c r="DB12" s="92">
        <v>16941</v>
      </c>
      <c r="DC12" s="92">
        <v>5560</v>
      </c>
      <c r="DE12" s="4">
        <v>9</v>
      </c>
      <c r="DF12" s="92">
        <v>13962</v>
      </c>
      <c r="DG12" s="92">
        <v>21853</v>
      </c>
      <c r="DH12" s="92">
        <v>6316</v>
      </c>
      <c r="DJ12" s="4">
        <v>9</v>
      </c>
      <c r="DK12" s="92">
        <v>12631</v>
      </c>
      <c r="DL12" s="92">
        <v>26325</v>
      </c>
      <c r="DM12" s="92">
        <v>5657</v>
      </c>
      <c r="DO12" s="4">
        <v>9</v>
      </c>
      <c r="DP12" s="92">
        <v>15864</v>
      </c>
      <c r="DQ12" s="92">
        <v>23214</v>
      </c>
      <c r="DR12" s="92">
        <v>6176</v>
      </c>
      <c r="DT12" s="4">
        <v>9</v>
      </c>
      <c r="DU12" s="92">
        <v>8692</v>
      </c>
      <c r="DV12" s="92">
        <v>17862</v>
      </c>
      <c r="DW12" s="92">
        <v>4690</v>
      </c>
      <c r="DY12" s="4">
        <v>9</v>
      </c>
      <c r="ED12" s="4">
        <v>9</v>
      </c>
      <c r="EE12" s="92">
        <v>20518</v>
      </c>
      <c r="EF12" s="92">
        <v>24431</v>
      </c>
      <c r="EG12" s="92">
        <v>8305</v>
      </c>
      <c r="EI12" s="4">
        <v>9</v>
      </c>
      <c r="EN12" s="4">
        <v>9</v>
      </c>
      <c r="ES12" s="4">
        <v>9</v>
      </c>
      <c r="ET12" s="92">
        <v>12193</v>
      </c>
      <c r="EU12" s="92">
        <v>22900</v>
      </c>
      <c r="EV12" s="92">
        <v>6746</v>
      </c>
      <c r="EY12" s="60" t="s">
        <v>21</v>
      </c>
      <c r="EZ12" s="81">
        <v>10</v>
      </c>
      <c r="FA12" s="98">
        <v>22680</v>
      </c>
      <c r="FB12" s="98">
        <v>35150</v>
      </c>
      <c r="FC12" s="99">
        <v>7398</v>
      </c>
      <c r="FD12" s="82"/>
      <c r="FE12" s="81">
        <v>10</v>
      </c>
      <c r="FF12" s="98">
        <v>18221</v>
      </c>
      <c r="FG12" s="98">
        <v>36447</v>
      </c>
      <c r="FH12" s="99">
        <v>7247</v>
      </c>
      <c r="FI12" s="82"/>
      <c r="FJ12" s="81">
        <v>10</v>
      </c>
      <c r="FK12" s="98">
        <v>37413</v>
      </c>
      <c r="FL12" s="98">
        <v>41100</v>
      </c>
      <c r="FM12" s="99">
        <v>8429</v>
      </c>
      <c r="FN12" s="82"/>
      <c r="FO12" s="81">
        <v>10</v>
      </c>
      <c r="FP12" s="98">
        <v>21125</v>
      </c>
      <c r="FQ12" s="98">
        <v>24022</v>
      </c>
      <c r="FR12" s="99">
        <v>6032</v>
      </c>
      <c r="FS12" s="82"/>
      <c r="FT12" s="81">
        <v>10</v>
      </c>
      <c r="FU12" s="102"/>
      <c r="FV12" s="102"/>
      <c r="FW12" s="103"/>
      <c r="FX12" s="82"/>
      <c r="FY12" s="81">
        <v>10</v>
      </c>
      <c r="FZ12" s="98">
        <v>17354</v>
      </c>
      <c r="GA12" s="98">
        <v>32076</v>
      </c>
      <c r="GB12" s="99">
        <v>6089</v>
      </c>
      <c r="GC12" s="82"/>
      <c r="GD12" s="81">
        <v>10</v>
      </c>
      <c r="GE12" s="98">
        <v>32143</v>
      </c>
      <c r="GF12" s="98">
        <v>28495</v>
      </c>
      <c r="GG12" s="99">
        <v>7050</v>
      </c>
      <c r="GH12" s="82"/>
      <c r="GI12" s="81">
        <v>10</v>
      </c>
      <c r="GJ12" s="98">
        <v>12407</v>
      </c>
      <c r="GK12" s="98">
        <v>20536</v>
      </c>
      <c r="GL12" s="99">
        <v>4335</v>
      </c>
      <c r="GM12" s="82"/>
      <c r="GN12" s="81">
        <v>10</v>
      </c>
      <c r="GO12" s="98">
        <v>38635</v>
      </c>
      <c r="GP12" s="98">
        <v>42583</v>
      </c>
      <c r="GQ12" s="99">
        <v>9358</v>
      </c>
      <c r="GR12" s="82"/>
      <c r="GS12" s="81">
        <v>10</v>
      </c>
      <c r="GT12" s="102"/>
      <c r="GU12" s="102"/>
      <c r="GV12" s="103"/>
      <c r="GW12" s="82"/>
      <c r="GX12" s="81">
        <v>10</v>
      </c>
      <c r="GY12" s="60"/>
      <c r="GZ12" s="60"/>
      <c r="HA12" s="86"/>
      <c r="HB12" s="60"/>
      <c r="HC12" s="81">
        <v>10</v>
      </c>
      <c r="HD12" s="98">
        <v>44794</v>
      </c>
      <c r="HE12" s="98">
        <v>37717</v>
      </c>
      <c r="HF12" s="99">
        <v>9352</v>
      </c>
      <c r="HG12" s="82"/>
      <c r="HH12" s="81">
        <v>10</v>
      </c>
      <c r="HI12" s="60"/>
      <c r="HJ12" s="60"/>
      <c r="HK12" s="86"/>
      <c r="HL12" s="60"/>
      <c r="HM12" s="81">
        <v>10</v>
      </c>
      <c r="HN12" s="60"/>
      <c r="HO12" s="60"/>
      <c r="HP12" s="86"/>
      <c r="HQ12" s="60"/>
      <c r="HR12" s="81">
        <v>10</v>
      </c>
      <c r="HS12" s="98">
        <v>25851</v>
      </c>
      <c r="HT12" s="98">
        <v>40345</v>
      </c>
      <c r="HU12" s="99">
        <v>7770</v>
      </c>
    </row>
    <row r="13" spans="1:229" x14ac:dyDescent="0.25">
      <c r="A13" t="s">
        <v>21</v>
      </c>
      <c r="B13" s="4">
        <v>10</v>
      </c>
      <c r="C13" s="92">
        <v>7300</v>
      </c>
      <c r="D13" s="92">
        <v>15911</v>
      </c>
      <c r="E13" s="92">
        <v>4832</v>
      </c>
      <c r="G13" s="4">
        <v>10</v>
      </c>
      <c r="H13" s="95">
        <v>3677</v>
      </c>
      <c r="I13" s="95">
        <v>9799</v>
      </c>
      <c r="J13" s="95">
        <v>3795</v>
      </c>
      <c r="L13" s="4">
        <v>10</v>
      </c>
      <c r="M13" s="92">
        <v>7141</v>
      </c>
      <c r="N13" s="92">
        <v>16467</v>
      </c>
      <c r="O13" s="92">
        <v>5604</v>
      </c>
      <c r="Q13" s="4">
        <v>10</v>
      </c>
      <c r="R13" s="92">
        <v>6591</v>
      </c>
      <c r="S13" s="92">
        <v>11111</v>
      </c>
      <c r="T13" s="92">
        <v>3561</v>
      </c>
      <c r="V13" s="4">
        <v>10</v>
      </c>
      <c r="W13" s="92">
        <v>9259</v>
      </c>
      <c r="X13" s="92">
        <v>21845</v>
      </c>
      <c r="Y13" s="92">
        <v>4251</v>
      </c>
      <c r="AA13" s="4">
        <v>10</v>
      </c>
      <c r="AB13" s="92">
        <v>4500</v>
      </c>
      <c r="AC13" s="92">
        <v>11171</v>
      </c>
      <c r="AD13" s="92">
        <v>3668</v>
      </c>
      <c r="AF13" s="4">
        <v>10</v>
      </c>
      <c r="AG13" s="92">
        <v>4982</v>
      </c>
      <c r="AH13" s="92">
        <v>10249</v>
      </c>
      <c r="AI13" s="92">
        <v>3599</v>
      </c>
      <c r="AK13" s="4">
        <v>10</v>
      </c>
      <c r="AL13" s="92">
        <v>8578</v>
      </c>
      <c r="AM13" s="92">
        <v>20295</v>
      </c>
      <c r="AN13" s="92">
        <v>4673</v>
      </c>
      <c r="AP13" s="4">
        <v>10</v>
      </c>
      <c r="AQ13" s="92">
        <v>9127</v>
      </c>
      <c r="AR13" s="92">
        <v>15269</v>
      </c>
      <c r="AS13" s="92">
        <v>4675</v>
      </c>
      <c r="AU13" s="4">
        <v>10</v>
      </c>
      <c r="AV13" s="92">
        <v>6562</v>
      </c>
      <c r="AW13" s="92">
        <v>21402</v>
      </c>
      <c r="AX13" s="92">
        <v>7364</v>
      </c>
      <c r="BE13" s="4">
        <v>10</v>
      </c>
      <c r="BF13" s="92">
        <v>9158</v>
      </c>
      <c r="BG13" s="92">
        <v>15885</v>
      </c>
      <c r="BH13" s="92">
        <v>5021</v>
      </c>
      <c r="BT13" s="4">
        <v>10</v>
      </c>
      <c r="BU13" s="92">
        <v>4904</v>
      </c>
      <c r="BV13" s="92">
        <v>11529</v>
      </c>
      <c r="BW13" s="92">
        <v>4458</v>
      </c>
      <c r="BZ13" t="s">
        <v>21</v>
      </c>
      <c r="CA13" s="4">
        <v>10</v>
      </c>
      <c r="CB13" s="92">
        <v>14667</v>
      </c>
      <c r="CC13" s="92">
        <v>20725</v>
      </c>
      <c r="CD13" s="92">
        <v>6521</v>
      </c>
      <c r="CF13" s="4">
        <v>10</v>
      </c>
      <c r="CG13" s="92">
        <v>12773</v>
      </c>
      <c r="CH13" s="92">
        <v>26821</v>
      </c>
      <c r="CI13" s="92">
        <v>5389</v>
      </c>
      <c r="CK13" s="4">
        <v>10</v>
      </c>
      <c r="CL13" s="92">
        <v>18685</v>
      </c>
      <c r="CM13" s="92">
        <v>23938</v>
      </c>
      <c r="CN13" s="92">
        <v>7896</v>
      </c>
      <c r="CP13" s="4">
        <v>10</v>
      </c>
      <c r="CQ13" s="92">
        <v>8032</v>
      </c>
      <c r="CR13" s="92">
        <v>15630</v>
      </c>
      <c r="CS13" s="92">
        <v>4022</v>
      </c>
      <c r="CU13" s="4">
        <v>10</v>
      </c>
      <c r="CV13" s="92">
        <v>12846</v>
      </c>
      <c r="CW13" s="92">
        <v>18087</v>
      </c>
      <c r="CX13" s="92">
        <v>5097</v>
      </c>
      <c r="CZ13" s="4">
        <v>10</v>
      </c>
      <c r="DA13" s="92">
        <v>14033</v>
      </c>
      <c r="DB13" s="92">
        <v>22480</v>
      </c>
      <c r="DC13" s="92">
        <v>5873</v>
      </c>
      <c r="DE13" s="4">
        <v>10</v>
      </c>
      <c r="DF13" s="92">
        <v>13485</v>
      </c>
      <c r="DG13" s="92">
        <v>22946</v>
      </c>
      <c r="DH13" s="92">
        <v>5740</v>
      </c>
      <c r="DJ13" s="4">
        <v>10</v>
      </c>
      <c r="DK13" s="92">
        <v>10148</v>
      </c>
      <c r="DL13" s="92">
        <v>19871</v>
      </c>
      <c r="DM13" s="92">
        <v>5781</v>
      </c>
      <c r="DO13" s="4">
        <v>10</v>
      </c>
      <c r="DP13" s="92">
        <v>21849</v>
      </c>
      <c r="DQ13" s="92">
        <v>32648</v>
      </c>
      <c r="DR13" s="92">
        <v>6371</v>
      </c>
      <c r="DT13" s="4">
        <v>10</v>
      </c>
      <c r="DU13" s="92">
        <v>16771</v>
      </c>
      <c r="DV13" s="92">
        <v>30888</v>
      </c>
      <c r="DW13" s="92">
        <v>8317</v>
      </c>
      <c r="DY13" s="4">
        <v>10</v>
      </c>
      <c r="ED13" s="4">
        <v>10</v>
      </c>
      <c r="EE13" s="92">
        <v>20772</v>
      </c>
      <c r="EF13" s="92">
        <v>21849</v>
      </c>
      <c r="EG13" s="92">
        <v>7095</v>
      </c>
      <c r="EI13" s="4">
        <v>10</v>
      </c>
      <c r="EN13" s="4">
        <v>10</v>
      </c>
      <c r="ES13" s="4">
        <v>10</v>
      </c>
      <c r="ET13" s="92">
        <v>13860</v>
      </c>
      <c r="EU13" s="92">
        <v>22488</v>
      </c>
      <c r="EV13" s="92">
        <v>6452</v>
      </c>
      <c r="EY13" s="60" t="s">
        <v>21</v>
      </c>
      <c r="EZ13" s="81">
        <v>11</v>
      </c>
      <c r="FA13" s="102"/>
      <c r="FB13" s="102"/>
      <c r="FC13" s="103"/>
      <c r="FD13" s="82"/>
      <c r="FE13" s="81">
        <v>11</v>
      </c>
      <c r="FF13" s="98">
        <v>17736</v>
      </c>
      <c r="FG13" s="98">
        <v>37196</v>
      </c>
      <c r="FH13" s="99">
        <v>6664</v>
      </c>
      <c r="FI13" s="82"/>
      <c r="FJ13" s="81">
        <v>11</v>
      </c>
      <c r="FK13" s="98">
        <v>23194</v>
      </c>
      <c r="FL13" s="98">
        <v>29718</v>
      </c>
      <c r="FM13" s="99">
        <v>7411</v>
      </c>
      <c r="FN13" s="82"/>
      <c r="FO13" s="81">
        <v>11</v>
      </c>
      <c r="FP13" s="98">
        <v>25441</v>
      </c>
      <c r="FQ13" s="98">
        <v>32813</v>
      </c>
      <c r="FR13" s="99">
        <v>7982</v>
      </c>
      <c r="FS13" s="82"/>
      <c r="FT13" s="81">
        <v>11</v>
      </c>
      <c r="FU13" s="102"/>
      <c r="FV13" s="102"/>
      <c r="FW13" s="103"/>
      <c r="FX13" s="82"/>
      <c r="FY13" s="81">
        <v>11</v>
      </c>
      <c r="FZ13" s="98">
        <v>30396</v>
      </c>
      <c r="GA13" s="98">
        <v>41645</v>
      </c>
      <c r="GB13" s="99">
        <v>9819</v>
      </c>
      <c r="GC13" s="82"/>
      <c r="GD13" s="81">
        <v>11</v>
      </c>
      <c r="GE13" s="98">
        <v>7557</v>
      </c>
      <c r="GF13" s="98">
        <v>16901</v>
      </c>
      <c r="GG13" s="99">
        <v>3561</v>
      </c>
      <c r="GH13" s="82"/>
      <c r="GI13" s="81">
        <v>11</v>
      </c>
      <c r="GJ13" s="98">
        <v>33852</v>
      </c>
      <c r="GK13" s="98">
        <v>43398</v>
      </c>
      <c r="GL13" s="99">
        <v>7224</v>
      </c>
      <c r="GM13" s="82"/>
      <c r="GN13" s="81">
        <v>11</v>
      </c>
      <c r="GO13" s="98">
        <v>38417</v>
      </c>
      <c r="GP13" s="98">
        <v>44574</v>
      </c>
      <c r="GQ13" s="99">
        <v>9294</v>
      </c>
      <c r="GR13" s="82"/>
      <c r="GS13" s="81">
        <v>11</v>
      </c>
      <c r="GT13" s="108"/>
      <c r="GU13" s="108"/>
      <c r="GV13" s="109"/>
      <c r="GW13" s="60"/>
      <c r="GX13" s="81">
        <v>11</v>
      </c>
      <c r="GY13" s="60"/>
      <c r="GZ13" s="60"/>
      <c r="HA13" s="86"/>
      <c r="HB13" s="60"/>
      <c r="HC13" s="81">
        <v>11</v>
      </c>
      <c r="HD13" s="98">
        <v>55683</v>
      </c>
      <c r="HE13" s="98">
        <v>44271</v>
      </c>
      <c r="HF13" s="99">
        <v>9299</v>
      </c>
      <c r="HG13" s="82"/>
      <c r="HH13" s="81">
        <v>11</v>
      </c>
      <c r="HI13" s="60"/>
      <c r="HJ13" s="60"/>
      <c r="HK13" s="86"/>
      <c r="HL13" s="60"/>
      <c r="HM13" s="81">
        <v>11</v>
      </c>
      <c r="HN13" s="60"/>
      <c r="HO13" s="60"/>
      <c r="HP13" s="86"/>
      <c r="HQ13" s="60"/>
      <c r="HR13" s="81">
        <v>11</v>
      </c>
      <c r="HS13" s="98">
        <v>28625</v>
      </c>
      <c r="HT13" s="98">
        <v>32750</v>
      </c>
      <c r="HU13" s="99">
        <v>8272</v>
      </c>
    </row>
    <row r="14" spans="1:229" x14ac:dyDescent="0.25">
      <c r="A14" t="s">
        <v>21</v>
      </c>
      <c r="B14" s="4">
        <v>11</v>
      </c>
      <c r="C14" s="92">
        <v>7744</v>
      </c>
      <c r="D14" s="92">
        <v>13763</v>
      </c>
      <c r="E14" s="92">
        <v>4665</v>
      </c>
      <c r="G14" s="4">
        <v>11</v>
      </c>
      <c r="H14" s="95">
        <v>5600</v>
      </c>
      <c r="I14" s="95">
        <v>11998</v>
      </c>
      <c r="J14" s="95">
        <v>4147</v>
      </c>
      <c r="L14" s="4">
        <v>11</v>
      </c>
      <c r="M14" s="92">
        <v>4974</v>
      </c>
      <c r="N14" s="92">
        <v>11638</v>
      </c>
      <c r="O14" s="92">
        <v>4080</v>
      </c>
      <c r="Q14" s="4">
        <v>11</v>
      </c>
      <c r="R14" s="92">
        <v>4473</v>
      </c>
      <c r="S14" s="92">
        <v>11641</v>
      </c>
      <c r="T14" s="92">
        <v>4280</v>
      </c>
      <c r="V14" s="4">
        <v>11</v>
      </c>
      <c r="W14" s="92">
        <v>6487</v>
      </c>
      <c r="X14" s="92">
        <v>18687</v>
      </c>
      <c r="Y14" s="92">
        <v>5664</v>
      </c>
      <c r="AA14" s="4">
        <v>11</v>
      </c>
      <c r="AB14" s="92">
        <v>4188</v>
      </c>
      <c r="AC14" s="92">
        <v>11553</v>
      </c>
      <c r="AD14" s="92">
        <v>4811</v>
      </c>
      <c r="AF14" s="4">
        <v>11</v>
      </c>
      <c r="AG14" s="92">
        <v>5595</v>
      </c>
      <c r="AH14" s="92">
        <v>15098</v>
      </c>
      <c r="AI14" s="92">
        <v>3715</v>
      </c>
      <c r="AK14" s="4">
        <v>11</v>
      </c>
      <c r="AL14" s="92">
        <v>6514</v>
      </c>
      <c r="AM14" s="92">
        <v>15227</v>
      </c>
      <c r="AN14" s="92">
        <v>4060</v>
      </c>
      <c r="AP14" s="4">
        <v>11</v>
      </c>
      <c r="AQ14" s="92">
        <v>6444</v>
      </c>
      <c r="AR14" s="92">
        <v>12613</v>
      </c>
      <c r="AS14" s="92">
        <v>5014</v>
      </c>
      <c r="AU14" s="4">
        <v>11</v>
      </c>
      <c r="AV14" s="92">
        <v>4801</v>
      </c>
      <c r="AW14" s="92">
        <v>15687</v>
      </c>
      <c r="AX14" s="92">
        <v>3490</v>
      </c>
      <c r="BE14" s="4">
        <v>11</v>
      </c>
      <c r="BF14" s="92">
        <v>14127</v>
      </c>
      <c r="BG14" s="92">
        <v>18189</v>
      </c>
      <c r="BH14" s="92">
        <v>4985</v>
      </c>
      <c r="BT14" s="4">
        <v>11</v>
      </c>
      <c r="BU14" s="92">
        <v>4360</v>
      </c>
      <c r="BV14" s="92">
        <v>10152</v>
      </c>
      <c r="BW14" s="92">
        <v>3622</v>
      </c>
      <c r="BZ14" t="s">
        <v>21</v>
      </c>
      <c r="CA14" s="4">
        <v>11</v>
      </c>
      <c r="CB14" s="92">
        <v>5501</v>
      </c>
      <c r="CC14" s="92">
        <v>12634</v>
      </c>
      <c r="CD14" s="92">
        <v>4225</v>
      </c>
      <c r="CF14" s="4">
        <v>11</v>
      </c>
      <c r="CG14" s="92">
        <v>10195</v>
      </c>
      <c r="CH14" s="92">
        <v>20203</v>
      </c>
      <c r="CI14" s="92">
        <v>5396</v>
      </c>
      <c r="CK14" s="4">
        <v>11</v>
      </c>
      <c r="CL14" s="92">
        <v>11536</v>
      </c>
      <c r="CM14" s="92">
        <v>16765</v>
      </c>
      <c r="CN14" s="92">
        <v>5814</v>
      </c>
      <c r="CP14" s="4">
        <v>11</v>
      </c>
      <c r="CQ14" s="92">
        <v>10919</v>
      </c>
      <c r="CR14" s="92">
        <v>21214</v>
      </c>
      <c r="CS14" s="92">
        <v>6155</v>
      </c>
      <c r="CU14" s="4">
        <v>11</v>
      </c>
      <c r="CV14" s="92">
        <v>11948</v>
      </c>
      <c r="CW14" s="92">
        <v>25601</v>
      </c>
      <c r="CX14" s="92">
        <v>6303</v>
      </c>
      <c r="CZ14" s="4">
        <v>11</v>
      </c>
      <c r="DA14" s="92">
        <v>19317</v>
      </c>
      <c r="DB14" s="92">
        <v>32127</v>
      </c>
      <c r="DC14" s="92">
        <v>7721</v>
      </c>
      <c r="DE14" s="4">
        <v>11</v>
      </c>
      <c r="DF14" s="92">
        <v>8986</v>
      </c>
      <c r="DG14" s="92">
        <v>17363</v>
      </c>
      <c r="DH14" s="92">
        <v>5111</v>
      </c>
      <c r="DJ14" s="4">
        <v>11</v>
      </c>
      <c r="DK14" s="92">
        <v>13741</v>
      </c>
      <c r="DL14" s="92">
        <v>23031</v>
      </c>
      <c r="DM14" s="92">
        <v>5318</v>
      </c>
      <c r="DO14" s="4">
        <v>11</v>
      </c>
      <c r="DP14" s="92">
        <v>15633</v>
      </c>
      <c r="DQ14" s="92">
        <v>23639</v>
      </c>
      <c r="DR14" s="92">
        <v>6873</v>
      </c>
      <c r="DT14" s="4">
        <v>11</v>
      </c>
      <c r="DU14" s="97"/>
      <c r="DV14" s="97"/>
      <c r="DW14" s="97"/>
      <c r="DY14" s="4">
        <v>11</v>
      </c>
      <c r="ED14" s="4">
        <v>11</v>
      </c>
      <c r="EE14" s="92">
        <v>30162</v>
      </c>
      <c r="EF14" s="92">
        <v>28178</v>
      </c>
      <c r="EG14" s="92">
        <v>6843</v>
      </c>
      <c r="EI14" s="4">
        <v>11</v>
      </c>
      <c r="EN14" s="4">
        <v>11</v>
      </c>
      <c r="ES14" s="4">
        <v>11</v>
      </c>
      <c r="ET14" s="92">
        <v>14604</v>
      </c>
      <c r="EU14" s="92">
        <v>23369</v>
      </c>
      <c r="EV14" s="92">
        <v>6178</v>
      </c>
      <c r="EY14" s="60" t="s">
        <v>21</v>
      </c>
      <c r="EZ14" s="81">
        <v>12</v>
      </c>
      <c r="FA14" s="102"/>
      <c r="FB14" s="102"/>
      <c r="FC14" s="103"/>
      <c r="FD14" s="82"/>
      <c r="FE14" s="81">
        <v>12</v>
      </c>
      <c r="FF14" s="98">
        <v>23621</v>
      </c>
      <c r="FG14" s="98">
        <v>33122</v>
      </c>
      <c r="FH14" s="99">
        <v>7473</v>
      </c>
      <c r="FI14" s="82"/>
      <c r="FJ14" s="81">
        <v>12</v>
      </c>
      <c r="FK14" s="98">
        <v>39698</v>
      </c>
      <c r="FL14" s="98">
        <v>41736</v>
      </c>
      <c r="FM14" s="99">
        <v>8514</v>
      </c>
      <c r="FN14" s="82"/>
      <c r="FO14" s="81">
        <v>12</v>
      </c>
      <c r="FP14" s="98">
        <v>28119</v>
      </c>
      <c r="FQ14" s="98">
        <v>32848</v>
      </c>
      <c r="FR14" s="99">
        <v>7632</v>
      </c>
      <c r="FS14" s="82"/>
      <c r="FT14" s="81">
        <v>12</v>
      </c>
      <c r="FU14" s="98">
        <v>14328</v>
      </c>
      <c r="FV14" s="98">
        <v>23441</v>
      </c>
      <c r="FW14" s="99">
        <v>5793</v>
      </c>
      <c r="FX14" s="82"/>
      <c r="FY14" s="81">
        <v>12</v>
      </c>
      <c r="FZ14" s="98">
        <v>16281</v>
      </c>
      <c r="GA14" s="98">
        <v>29805</v>
      </c>
      <c r="GB14" s="99">
        <v>5852</v>
      </c>
      <c r="GC14" s="82"/>
      <c r="GD14" s="81">
        <v>12</v>
      </c>
      <c r="GE14" s="98">
        <v>34790</v>
      </c>
      <c r="GF14" s="98">
        <v>32175</v>
      </c>
      <c r="GG14" s="99">
        <v>7331</v>
      </c>
      <c r="GH14" s="82"/>
      <c r="GI14" s="81">
        <v>12</v>
      </c>
      <c r="GJ14" s="98">
        <v>34894</v>
      </c>
      <c r="GK14" s="98">
        <v>44068</v>
      </c>
      <c r="GL14" s="99">
        <v>8194</v>
      </c>
      <c r="GM14" s="82"/>
      <c r="GN14" s="81">
        <v>12</v>
      </c>
      <c r="GO14" s="98">
        <v>30651</v>
      </c>
      <c r="GP14" s="98">
        <v>46591</v>
      </c>
      <c r="GQ14" s="99">
        <v>8287</v>
      </c>
      <c r="GR14" s="82"/>
      <c r="GS14" s="81">
        <v>12</v>
      </c>
      <c r="GT14" s="102"/>
      <c r="GU14" s="102"/>
      <c r="GV14" s="103"/>
      <c r="GW14" s="82"/>
      <c r="GX14" s="81">
        <v>12</v>
      </c>
      <c r="GY14" s="60"/>
      <c r="GZ14" s="60"/>
      <c r="HA14" s="86"/>
      <c r="HB14" s="60"/>
      <c r="HC14" s="81">
        <v>12</v>
      </c>
      <c r="HD14" s="98">
        <v>41333</v>
      </c>
      <c r="HE14" s="98">
        <v>47299</v>
      </c>
      <c r="HF14" s="99">
        <v>8853</v>
      </c>
      <c r="HG14" s="82"/>
      <c r="HH14" s="81">
        <v>12</v>
      </c>
      <c r="HI14" s="60"/>
      <c r="HJ14" s="60"/>
      <c r="HK14" s="86"/>
      <c r="HL14" s="60"/>
      <c r="HM14" s="81">
        <v>12</v>
      </c>
      <c r="HN14" s="60"/>
      <c r="HO14" s="60"/>
      <c r="HP14" s="86"/>
      <c r="HQ14" s="60"/>
      <c r="HR14" s="81">
        <v>12</v>
      </c>
      <c r="HS14" s="102"/>
      <c r="HT14" s="102"/>
      <c r="HU14" s="103"/>
    </row>
    <row r="15" spans="1:229" x14ac:dyDescent="0.25">
      <c r="A15" t="s">
        <v>21</v>
      </c>
      <c r="B15" s="4">
        <v>12</v>
      </c>
      <c r="C15" s="92">
        <v>5353</v>
      </c>
      <c r="D15" s="92">
        <v>12687</v>
      </c>
      <c r="E15" s="92">
        <v>4612</v>
      </c>
      <c r="G15" s="4">
        <v>12</v>
      </c>
      <c r="H15" s="95">
        <v>3920</v>
      </c>
      <c r="I15" s="95">
        <v>10054</v>
      </c>
      <c r="J15" s="95">
        <v>2681</v>
      </c>
      <c r="L15" s="4">
        <v>12</v>
      </c>
      <c r="M15" s="92">
        <v>6368</v>
      </c>
      <c r="N15" s="92">
        <v>14751</v>
      </c>
      <c r="O15" s="92">
        <v>4141</v>
      </c>
      <c r="Q15" s="4">
        <v>12</v>
      </c>
      <c r="R15" s="92">
        <v>4102</v>
      </c>
      <c r="S15" s="92">
        <v>10601</v>
      </c>
      <c r="T15" s="92">
        <v>3854</v>
      </c>
      <c r="V15" s="4">
        <v>12</v>
      </c>
      <c r="W15" s="92">
        <v>7988</v>
      </c>
      <c r="X15" s="92">
        <v>19664</v>
      </c>
      <c r="Y15" s="92">
        <v>3525</v>
      </c>
      <c r="AA15" s="4">
        <v>12</v>
      </c>
      <c r="AB15" s="92">
        <v>3049</v>
      </c>
      <c r="AC15" s="92">
        <v>11720</v>
      </c>
      <c r="AD15" s="92">
        <v>3838</v>
      </c>
      <c r="AF15" s="4">
        <v>12</v>
      </c>
      <c r="AG15" s="92">
        <v>7285</v>
      </c>
      <c r="AH15" s="92">
        <v>14899</v>
      </c>
      <c r="AI15" s="92">
        <v>3492</v>
      </c>
      <c r="AK15" s="4">
        <v>12</v>
      </c>
      <c r="AL15" s="92">
        <v>5223</v>
      </c>
      <c r="AM15" s="92">
        <v>12986</v>
      </c>
      <c r="AN15" s="92">
        <v>3809</v>
      </c>
      <c r="AP15" s="4">
        <v>12</v>
      </c>
      <c r="AQ15" s="92">
        <v>4598</v>
      </c>
      <c r="AR15" s="92">
        <v>11453</v>
      </c>
      <c r="AS15" s="92">
        <v>4745</v>
      </c>
      <c r="AU15" s="4">
        <v>12</v>
      </c>
      <c r="AV15" s="92">
        <v>6316</v>
      </c>
      <c r="AW15" s="92">
        <v>15204</v>
      </c>
      <c r="AX15" s="92">
        <v>4673</v>
      </c>
      <c r="BE15" s="4">
        <v>12</v>
      </c>
      <c r="BF15" s="92">
        <v>7317</v>
      </c>
      <c r="BG15" s="92">
        <v>13049</v>
      </c>
      <c r="BH15" s="92">
        <v>4636</v>
      </c>
      <c r="BT15" s="4">
        <v>12</v>
      </c>
      <c r="BU15" s="92">
        <v>5346</v>
      </c>
      <c r="BV15" s="92">
        <v>11437</v>
      </c>
      <c r="BW15" s="92">
        <v>4241</v>
      </c>
      <c r="BZ15" t="s">
        <v>21</v>
      </c>
      <c r="CA15" s="4">
        <v>12</v>
      </c>
      <c r="CB15" s="96">
        <v>8735</v>
      </c>
      <c r="CC15" s="96">
        <v>13979</v>
      </c>
      <c r="CD15" s="96">
        <v>4071</v>
      </c>
      <c r="CF15" s="4">
        <v>12</v>
      </c>
      <c r="CG15" s="92">
        <v>12069</v>
      </c>
      <c r="CH15" s="92">
        <v>18815</v>
      </c>
      <c r="CI15" s="92">
        <v>5858</v>
      </c>
      <c r="CK15" s="4">
        <v>12</v>
      </c>
      <c r="CL15" s="92">
        <v>21985</v>
      </c>
      <c r="CM15" s="92">
        <v>25575</v>
      </c>
      <c r="CN15" s="92">
        <v>6558</v>
      </c>
      <c r="CP15" s="4">
        <v>12</v>
      </c>
      <c r="CQ15" s="92">
        <v>12908</v>
      </c>
      <c r="CR15" s="92">
        <v>21678</v>
      </c>
      <c r="CS15" s="92">
        <v>5844</v>
      </c>
      <c r="CU15" s="4">
        <v>12</v>
      </c>
      <c r="CV15" s="92">
        <v>12854</v>
      </c>
      <c r="CW15" s="92">
        <v>19185</v>
      </c>
      <c r="CX15" s="92">
        <v>5193</v>
      </c>
      <c r="CZ15" s="4">
        <v>12</v>
      </c>
      <c r="DA15" s="92">
        <v>8327</v>
      </c>
      <c r="DB15" s="92">
        <v>17024</v>
      </c>
      <c r="DC15" s="92">
        <v>4943</v>
      </c>
      <c r="DE15" s="4">
        <v>12</v>
      </c>
      <c r="DF15" s="92">
        <v>17632</v>
      </c>
      <c r="DG15" s="92">
        <v>20289</v>
      </c>
      <c r="DH15" s="92">
        <v>5690</v>
      </c>
      <c r="DJ15" s="4">
        <v>12</v>
      </c>
      <c r="DK15" s="92">
        <v>10255</v>
      </c>
      <c r="DL15" s="92">
        <v>22304</v>
      </c>
      <c r="DM15" s="92">
        <v>4468</v>
      </c>
      <c r="DO15" s="4">
        <v>12</v>
      </c>
      <c r="DP15" s="92">
        <v>13256</v>
      </c>
      <c r="DQ15" s="92">
        <v>23800</v>
      </c>
      <c r="DR15" s="92">
        <v>6841</v>
      </c>
      <c r="DT15" s="4">
        <v>12</v>
      </c>
      <c r="DU15" s="92">
        <v>14601</v>
      </c>
      <c r="DV15" s="92">
        <v>23384</v>
      </c>
      <c r="DW15" s="92">
        <v>6578</v>
      </c>
      <c r="DY15" s="4">
        <v>12</v>
      </c>
      <c r="ED15" s="4">
        <v>12</v>
      </c>
      <c r="EE15" s="92">
        <v>19857</v>
      </c>
      <c r="EF15" s="92">
        <v>22494</v>
      </c>
      <c r="EG15" s="92">
        <v>6419</v>
      </c>
      <c r="EI15" s="4">
        <v>12</v>
      </c>
      <c r="EN15" s="4">
        <v>12</v>
      </c>
      <c r="ES15" s="4">
        <v>12</v>
      </c>
      <c r="ET15" s="92">
        <v>9904</v>
      </c>
      <c r="EU15" s="92">
        <v>16380</v>
      </c>
      <c r="EV15" s="92">
        <v>5347</v>
      </c>
      <c r="EY15" s="60" t="s">
        <v>21</v>
      </c>
      <c r="EZ15" s="81">
        <v>13</v>
      </c>
      <c r="FA15" s="98">
        <v>16223</v>
      </c>
      <c r="FB15" s="98">
        <v>32636</v>
      </c>
      <c r="FC15" s="99">
        <v>6082</v>
      </c>
      <c r="FD15" s="82"/>
      <c r="FE15" s="81">
        <v>13</v>
      </c>
      <c r="FF15" s="98">
        <v>7304</v>
      </c>
      <c r="FG15" s="98">
        <v>12557</v>
      </c>
      <c r="FH15" s="99">
        <v>3796</v>
      </c>
      <c r="FI15" s="82"/>
      <c r="FJ15" s="81">
        <v>13</v>
      </c>
      <c r="FK15" s="98">
        <v>35710</v>
      </c>
      <c r="FL15" s="98">
        <v>38997</v>
      </c>
      <c r="FM15" s="99">
        <v>8050</v>
      </c>
      <c r="FN15" s="82"/>
      <c r="FO15" s="81">
        <v>13</v>
      </c>
      <c r="FP15" s="98">
        <v>27264</v>
      </c>
      <c r="FQ15" s="98">
        <v>35937</v>
      </c>
      <c r="FR15" s="99">
        <v>7604</v>
      </c>
      <c r="FS15" s="82"/>
      <c r="FT15" s="81">
        <v>13</v>
      </c>
      <c r="FU15" s="98">
        <v>15197</v>
      </c>
      <c r="FV15" s="98">
        <v>30687</v>
      </c>
      <c r="FW15" s="99">
        <v>6737</v>
      </c>
      <c r="FX15" s="82"/>
      <c r="FY15" s="81">
        <v>13</v>
      </c>
      <c r="FZ15" s="102"/>
      <c r="GA15" s="102"/>
      <c r="GB15" s="103"/>
      <c r="GC15" s="82"/>
      <c r="GD15" s="81">
        <v>13</v>
      </c>
      <c r="GE15" s="98">
        <v>30185</v>
      </c>
      <c r="GF15" s="98">
        <v>36901</v>
      </c>
      <c r="GG15" s="99">
        <v>8544</v>
      </c>
      <c r="GH15" s="82"/>
      <c r="GI15" s="81">
        <v>13</v>
      </c>
      <c r="GJ15" s="98">
        <v>11754</v>
      </c>
      <c r="GK15" s="98">
        <v>22281</v>
      </c>
      <c r="GL15" s="99">
        <v>5851</v>
      </c>
      <c r="GM15" s="82"/>
      <c r="GN15" s="81">
        <v>13</v>
      </c>
      <c r="GO15" s="98">
        <v>39177</v>
      </c>
      <c r="GP15" s="98">
        <v>52393</v>
      </c>
      <c r="GQ15" s="99">
        <v>9115</v>
      </c>
      <c r="GR15" s="82"/>
      <c r="GS15" s="81">
        <v>13</v>
      </c>
      <c r="GT15" s="82"/>
      <c r="GU15" s="82"/>
      <c r="GV15" s="83"/>
      <c r="GW15" s="82"/>
      <c r="GX15" s="81">
        <v>13</v>
      </c>
      <c r="GY15" s="60"/>
      <c r="GZ15" s="60"/>
      <c r="HA15" s="86"/>
      <c r="HB15" s="60"/>
      <c r="HC15" s="81">
        <v>13</v>
      </c>
      <c r="HD15" s="98">
        <v>72322</v>
      </c>
      <c r="HE15" s="98">
        <v>57189</v>
      </c>
      <c r="HF15" s="99">
        <v>11913</v>
      </c>
      <c r="HG15" s="82"/>
      <c r="HH15" s="81">
        <v>13</v>
      </c>
      <c r="HI15" s="60"/>
      <c r="HJ15" s="60"/>
      <c r="HK15" s="86"/>
      <c r="HL15" s="60"/>
      <c r="HM15" s="81">
        <v>13</v>
      </c>
      <c r="HN15" s="60"/>
      <c r="HO15" s="60"/>
      <c r="HP15" s="86"/>
      <c r="HQ15" s="60"/>
      <c r="HR15" s="81">
        <v>13</v>
      </c>
      <c r="HS15" s="60"/>
      <c r="HT15" s="60"/>
      <c r="HU15" s="86"/>
    </row>
    <row r="16" spans="1:229" x14ac:dyDescent="0.25">
      <c r="A16" t="s">
        <v>21</v>
      </c>
      <c r="B16" s="4">
        <v>13</v>
      </c>
      <c r="C16" s="92">
        <v>6048</v>
      </c>
      <c r="D16" s="92">
        <v>12625</v>
      </c>
      <c r="E16" s="92">
        <v>3643</v>
      </c>
      <c r="G16" s="4">
        <v>13</v>
      </c>
      <c r="H16" s="95">
        <v>3719</v>
      </c>
      <c r="I16" s="95">
        <v>10262</v>
      </c>
      <c r="J16" s="95">
        <v>3169</v>
      </c>
      <c r="L16" s="4">
        <v>13</v>
      </c>
      <c r="M16" s="92">
        <v>6116</v>
      </c>
      <c r="N16" s="92">
        <v>13962</v>
      </c>
      <c r="O16" s="92">
        <v>3722</v>
      </c>
      <c r="Q16" s="4">
        <v>13</v>
      </c>
      <c r="R16" s="92">
        <v>5598</v>
      </c>
      <c r="S16" s="92">
        <v>11523</v>
      </c>
      <c r="T16" s="92">
        <v>4629</v>
      </c>
      <c r="AA16" s="4">
        <v>13</v>
      </c>
      <c r="AB16" s="92">
        <v>4017</v>
      </c>
      <c r="AC16" s="92">
        <v>11618</v>
      </c>
      <c r="AD16" s="92">
        <v>2997</v>
      </c>
      <c r="AF16" s="4">
        <v>13</v>
      </c>
      <c r="AG16" s="92">
        <v>4850</v>
      </c>
      <c r="AH16" s="92">
        <v>11749</v>
      </c>
      <c r="AI16" s="92">
        <v>4783</v>
      </c>
      <c r="AK16" s="4">
        <v>13</v>
      </c>
      <c r="AL16" s="92">
        <v>4503</v>
      </c>
      <c r="AM16" s="92">
        <v>12538</v>
      </c>
      <c r="AN16" s="92">
        <v>4562</v>
      </c>
      <c r="AP16" s="4">
        <v>13</v>
      </c>
      <c r="AQ16" s="92">
        <v>4742</v>
      </c>
      <c r="AR16" s="92">
        <v>12367</v>
      </c>
      <c r="AS16" s="92">
        <v>4514</v>
      </c>
      <c r="AU16" s="4">
        <v>13</v>
      </c>
      <c r="AV16" s="92">
        <v>7441</v>
      </c>
      <c r="AW16" s="92">
        <v>16294</v>
      </c>
      <c r="AX16" s="92">
        <v>3839</v>
      </c>
      <c r="BE16" s="4">
        <v>13</v>
      </c>
      <c r="BF16" s="92">
        <v>19140</v>
      </c>
      <c r="BG16" s="92">
        <v>22573</v>
      </c>
      <c r="BH16" s="92">
        <v>7286</v>
      </c>
      <c r="BZ16" t="s">
        <v>21</v>
      </c>
      <c r="CA16" s="4">
        <v>13</v>
      </c>
      <c r="CB16" s="92">
        <v>10774</v>
      </c>
      <c r="CC16" s="92">
        <v>16561</v>
      </c>
      <c r="CD16" s="92">
        <v>5051</v>
      </c>
      <c r="CF16" s="4">
        <v>13</v>
      </c>
      <c r="CG16" s="92">
        <v>7149</v>
      </c>
      <c r="CH16" s="92">
        <v>13240</v>
      </c>
      <c r="CI16" s="92">
        <v>3825</v>
      </c>
      <c r="CK16" s="4">
        <v>13</v>
      </c>
      <c r="CL16" s="92">
        <v>19567</v>
      </c>
      <c r="CM16" s="92">
        <v>24546</v>
      </c>
      <c r="CN16" s="92">
        <v>6255</v>
      </c>
      <c r="CP16" s="4">
        <v>13</v>
      </c>
      <c r="CQ16" s="92">
        <v>12003</v>
      </c>
      <c r="CR16" s="92">
        <v>21039</v>
      </c>
      <c r="CS16" s="92">
        <v>5659</v>
      </c>
      <c r="CU16" s="4">
        <v>13</v>
      </c>
      <c r="CZ16" s="4">
        <v>13</v>
      </c>
      <c r="DA16" s="92">
        <v>12908</v>
      </c>
      <c r="DB16" s="92">
        <v>23489</v>
      </c>
      <c r="DC16" s="92">
        <v>5793</v>
      </c>
      <c r="DE16" s="4">
        <v>13</v>
      </c>
      <c r="DF16" s="92">
        <v>14490</v>
      </c>
      <c r="DG16" s="92">
        <v>26302</v>
      </c>
      <c r="DH16" s="92">
        <v>7047</v>
      </c>
      <c r="DJ16" s="4">
        <v>13</v>
      </c>
      <c r="DK16" s="92">
        <v>5965</v>
      </c>
      <c r="DL16" s="92">
        <v>13941</v>
      </c>
      <c r="DM16" s="92">
        <v>5021</v>
      </c>
      <c r="DO16" s="4">
        <v>13</v>
      </c>
      <c r="DP16" s="92">
        <v>12597</v>
      </c>
      <c r="DQ16" s="92">
        <v>21165</v>
      </c>
      <c r="DR16" s="92">
        <v>6332</v>
      </c>
      <c r="DT16" s="4">
        <v>13</v>
      </c>
      <c r="DU16" s="92">
        <v>15259</v>
      </c>
      <c r="DV16" s="92">
        <v>21341</v>
      </c>
      <c r="DW16" s="92">
        <v>5776</v>
      </c>
      <c r="DY16" s="4">
        <v>13</v>
      </c>
      <c r="ED16" s="4">
        <v>13</v>
      </c>
      <c r="EE16" s="92">
        <v>39287</v>
      </c>
      <c r="EF16" s="92">
        <v>35334</v>
      </c>
      <c r="EG16" s="92">
        <v>9615</v>
      </c>
      <c r="EI16" s="4">
        <v>13</v>
      </c>
      <c r="EN16" s="4">
        <v>13</v>
      </c>
      <c r="ES16" s="4">
        <v>13</v>
      </c>
      <c r="EY16" s="60" t="s">
        <v>21</v>
      </c>
      <c r="EZ16" s="81">
        <v>14</v>
      </c>
      <c r="FA16" s="98">
        <v>17785</v>
      </c>
      <c r="FB16" s="98">
        <v>27620</v>
      </c>
      <c r="FC16" s="99">
        <v>6179</v>
      </c>
      <c r="FD16" s="82"/>
      <c r="FE16" s="81">
        <v>14</v>
      </c>
      <c r="FF16" s="98">
        <v>6362</v>
      </c>
      <c r="FG16" s="98">
        <v>10809</v>
      </c>
      <c r="FH16" s="99">
        <v>3155</v>
      </c>
      <c r="FI16" s="82"/>
      <c r="FJ16" s="81">
        <v>14</v>
      </c>
      <c r="FK16" s="102"/>
      <c r="FL16" s="102"/>
      <c r="FM16" s="103"/>
      <c r="FN16" s="82"/>
      <c r="FO16" s="81">
        <v>14</v>
      </c>
      <c r="FP16" s="98">
        <v>13182</v>
      </c>
      <c r="FQ16" s="98">
        <v>21421</v>
      </c>
      <c r="FR16" s="99">
        <v>5761</v>
      </c>
      <c r="FS16" s="82"/>
      <c r="FT16" s="81">
        <v>14</v>
      </c>
      <c r="FU16" s="108"/>
      <c r="FV16" s="108"/>
      <c r="FW16" s="109"/>
      <c r="FX16" s="60"/>
      <c r="FY16" s="81">
        <v>14</v>
      </c>
      <c r="FZ16" s="102"/>
      <c r="GA16" s="102"/>
      <c r="GB16" s="103"/>
      <c r="GC16" s="82"/>
      <c r="GD16" s="81">
        <v>14</v>
      </c>
      <c r="GE16" s="98">
        <v>20590</v>
      </c>
      <c r="GF16" s="98">
        <v>29121</v>
      </c>
      <c r="GG16" s="99">
        <v>6708</v>
      </c>
      <c r="GH16" s="82"/>
      <c r="GI16" s="81">
        <v>14</v>
      </c>
      <c r="GJ16" s="98">
        <v>38221</v>
      </c>
      <c r="GK16" s="98">
        <v>38963</v>
      </c>
      <c r="GL16" s="99">
        <v>7872</v>
      </c>
      <c r="GM16" s="82"/>
      <c r="GN16" s="81">
        <v>14</v>
      </c>
      <c r="GO16" s="98">
        <v>61961</v>
      </c>
      <c r="GP16" s="98">
        <v>69461</v>
      </c>
      <c r="GQ16" s="99">
        <v>10822</v>
      </c>
      <c r="GR16" s="82"/>
      <c r="GS16" s="81">
        <v>14</v>
      </c>
      <c r="GT16" s="60"/>
      <c r="GU16" s="60"/>
      <c r="GV16" s="86"/>
      <c r="GW16" s="60"/>
      <c r="GX16" s="81">
        <v>14</v>
      </c>
      <c r="GY16" s="60"/>
      <c r="GZ16" s="60"/>
      <c r="HA16" s="86"/>
      <c r="HB16" s="60"/>
      <c r="HC16" s="81">
        <v>14</v>
      </c>
      <c r="HD16" s="98">
        <v>37473</v>
      </c>
      <c r="HE16" s="98">
        <v>43908</v>
      </c>
      <c r="HF16" s="99">
        <v>8637</v>
      </c>
      <c r="HG16" s="82"/>
      <c r="HH16" s="81">
        <v>14</v>
      </c>
      <c r="HI16" s="60"/>
      <c r="HJ16" s="60"/>
      <c r="HK16" s="86"/>
      <c r="HL16" s="60"/>
      <c r="HM16" s="81">
        <v>14</v>
      </c>
      <c r="HN16" s="60"/>
      <c r="HO16" s="60"/>
      <c r="HP16" s="86"/>
      <c r="HQ16" s="60"/>
      <c r="HR16" s="81">
        <v>14</v>
      </c>
      <c r="HS16" s="60"/>
      <c r="HT16" s="60"/>
      <c r="HU16" s="86"/>
    </row>
    <row r="17" spans="1:229" x14ac:dyDescent="0.25">
      <c r="A17" t="s">
        <v>21</v>
      </c>
      <c r="B17" s="4">
        <v>14</v>
      </c>
      <c r="C17" s="92">
        <v>4383</v>
      </c>
      <c r="D17" s="92">
        <v>10444</v>
      </c>
      <c r="E17" s="92">
        <v>3364</v>
      </c>
      <c r="G17" s="4">
        <v>14</v>
      </c>
      <c r="H17" s="95">
        <v>5272</v>
      </c>
      <c r="I17" s="95">
        <v>10863</v>
      </c>
      <c r="J17" s="95">
        <v>3968</v>
      </c>
      <c r="L17" s="4">
        <v>14</v>
      </c>
      <c r="M17" s="92">
        <v>6428</v>
      </c>
      <c r="N17" s="92">
        <v>12797</v>
      </c>
      <c r="O17" s="92">
        <v>3799</v>
      </c>
      <c r="Q17" s="4">
        <v>14</v>
      </c>
      <c r="R17" s="92">
        <v>6359</v>
      </c>
      <c r="S17" s="92">
        <v>13689</v>
      </c>
      <c r="T17" s="92">
        <v>4597</v>
      </c>
      <c r="AA17" s="4">
        <v>14</v>
      </c>
      <c r="AB17" s="92">
        <v>3672</v>
      </c>
      <c r="AC17" s="92">
        <v>12034</v>
      </c>
      <c r="AD17" s="92">
        <v>3713</v>
      </c>
      <c r="AF17" s="4">
        <v>14</v>
      </c>
      <c r="AG17" s="92">
        <v>4806</v>
      </c>
      <c r="AH17" s="92">
        <v>10532</v>
      </c>
      <c r="AI17" s="92">
        <v>3679</v>
      </c>
      <c r="AK17" s="4">
        <v>14</v>
      </c>
      <c r="AL17" s="92">
        <v>7716</v>
      </c>
      <c r="AM17" s="92">
        <v>17851</v>
      </c>
      <c r="AN17" s="92">
        <v>4396</v>
      </c>
      <c r="AP17" s="4">
        <v>14</v>
      </c>
      <c r="AQ17" s="92">
        <v>6006</v>
      </c>
      <c r="AR17" s="92">
        <v>12979</v>
      </c>
      <c r="AS17" s="92">
        <v>4591</v>
      </c>
      <c r="BE17" s="4">
        <v>14</v>
      </c>
      <c r="BF17" s="92">
        <v>8295</v>
      </c>
      <c r="BG17" s="92">
        <v>13694</v>
      </c>
      <c r="BH17" s="92">
        <v>4781</v>
      </c>
      <c r="BZ17" t="s">
        <v>21</v>
      </c>
      <c r="CA17" s="4">
        <v>14</v>
      </c>
      <c r="CB17" s="92">
        <v>10946</v>
      </c>
      <c r="CC17" s="92">
        <v>20837</v>
      </c>
      <c r="CD17" s="92">
        <v>5163</v>
      </c>
      <c r="CF17" s="4">
        <v>14</v>
      </c>
      <c r="CG17" s="92">
        <v>6046</v>
      </c>
      <c r="CH17" s="92">
        <v>11877</v>
      </c>
      <c r="CI17" s="92">
        <v>3521</v>
      </c>
      <c r="CK17" s="4">
        <v>14</v>
      </c>
      <c r="CL17" s="92">
        <v>10266</v>
      </c>
      <c r="CM17" s="92">
        <v>16473</v>
      </c>
      <c r="CN17" s="92">
        <v>5283</v>
      </c>
      <c r="CP17" s="4">
        <v>14</v>
      </c>
      <c r="CQ17" s="92">
        <v>6300</v>
      </c>
      <c r="CR17" s="92">
        <v>15618</v>
      </c>
      <c r="CS17" s="92">
        <v>4727</v>
      </c>
      <c r="CU17" s="4">
        <v>14</v>
      </c>
      <c r="CZ17" s="4">
        <v>14</v>
      </c>
      <c r="DA17" s="96">
        <v>4574</v>
      </c>
      <c r="DB17" s="96">
        <v>10078</v>
      </c>
      <c r="DC17" s="96">
        <v>3915</v>
      </c>
      <c r="DE17" s="4">
        <v>14</v>
      </c>
      <c r="DF17" s="92">
        <v>10170</v>
      </c>
      <c r="DG17" s="92">
        <v>15012</v>
      </c>
      <c r="DH17" s="92">
        <v>4200</v>
      </c>
      <c r="DJ17" s="4">
        <v>14</v>
      </c>
      <c r="DK17" s="92">
        <v>13852</v>
      </c>
      <c r="DL17" s="92">
        <v>24595</v>
      </c>
      <c r="DM17" s="92">
        <v>5837</v>
      </c>
      <c r="DO17" s="4">
        <v>14</v>
      </c>
      <c r="DP17" s="92">
        <v>15087</v>
      </c>
      <c r="DQ17" s="92">
        <v>26684</v>
      </c>
      <c r="DR17" s="92">
        <v>6440</v>
      </c>
      <c r="DT17" s="4">
        <v>14</v>
      </c>
      <c r="DY17" s="4">
        <v>14</v>
      </c>
      <c r="ED17" s="4">
        <v>14</v>
      </c>
      <c r="EE17" s="92">
        <v>18996</v>
      </c>
      <c r="EF17" s="92">
        <v>22022</v>
      </c>
      <c r="EG17" s="92">
        <v>6533</v>
      </c>
      <c r="EI17" s="4">
        <v>14</v>
      </c>
      <c r="EN17" s="4">
        <v>14</v>
      </c>
      <c r="ES17" s="4">
        <v>14</v>
      </c>
      <c r="EY17" s="60" t="s">
        <v>21</v>
      </c>
      <c r="EZ17" s="81">
        <v>15</v>
      </c>
      <c r="FA17" s="102"/>
      <c r="FB17" s="102"/>
      <c r="FC17" s="103"/>
      <c r="FD17" s="82"/>
      <c r="FE17" s="81">
        <v>15</v>
      </c>
      <c r="FF17" s="98">
        <v>17007</v>
      </c>
      <c r="FG17" s="98">
        <v>22644</v>
      </c>
      <c r="FH17" s="99">
        <v>6227</v>
      </c>
      <c r="FI17" s="82"/>
      <c r="FJ17" s="81">
        <v>15</v>
      </c>
      <c r="FK17" s="98">
        <v>29992</v>
      </c>
      <c r="FL17" s="98">
        <v>35765</v>
      </c>
      <c r="FM17" s="99">
        <v>8295</v>
      </c>
      <c r="FN17" s="82"/>
      <c r="FO17" s="81">
        <v>15</v>
      </c>
      <c r="FP17" s="98">
        <v>19372</v>
      </c>
      <c r="FQ17" s="98">
        <v>24602</v>
      </c>
      <c r="FR17" s="99">
        <v>5983</v>
      </c>
      <c r="FS17" s="82"/>
      <c r="FT17" s="81">
        <v>15</v>
      </c>
      <c r="FU17" s="60"/>
      <c r="FV17" s="60"/>
      <c r="FW17" s="86"/>
      <c r="FX17" s="60"/>
      <c r="FY17" s="81">
        <v>15</v>
      </c>
      <c r="FZ17" s="102"/>
      <c r="GA17" s="102"/>
      <c r="GB17" s="103"/>
      <c r="GC17" s="82"/>
      <c r="GD17" s="81">
        <v>15</v>
      </c>
      <c r="GE17" s="98">
        <v>23267</v>
      </c>
      <c r="GF17" s="98">
        <v>29924</v>
      </c>
      <c r="GG17" s="99">
        <v>6772</v>
      </c>
      <c r="GH17" s="82"/>
      <c r="GI17" s="81">
        <v>15</v>
      </c>
      <c r="GJ17" s="98">
        <v>70619</v>
      </c>
      <c r="GK17" s="98">
        <v>53658</v>
      </c>
      <c r="GL17" s="99">
        <v>12196</v>
      </c>
      <c r="GM17" s="82"/>
      <c r="GN17" s="81">
        <v>15</v>
      </c>
      <c r="GO17" s="98">
        <v>24793</v>
      </c>
      <c r="GP17" s="98">
        <v>35406</v>
      </c>
      <c r="GQ17" s="99">
        <v>6879</v>
      </c>
      <c r="GR17" s="82"/>
      <c r="GS17" s="81">
        <v>15</v>
      </c>
      <c r="GT17" s="60"/>
      <c r="GU17" s="60"/>
      <c r="GV17" s="86"/>
      <c r="GW17" s="60"/>
      <c r="GX17" s="81">
        <v>15</v>
      </c>
      <c r="GY17" s="60"/>
      <c r="GZ17" s="60"/>
      <c r="HA17" s="86"/>
      <c r="HB17" s="60"/>
      <c r="HC17" s="81">
        <v>15</v>
      </c>
      <c r="HD17" s="98">
        <v>45104</v>
      </c>
      <c r="HE17" s="98">
        <v>37897</v>
      </c>
      <c r="HF17" s="99">
        <v>8251</v>
      </c>
      <c r="HG17" s="82"/>
      <c r="HH17" s="81">
        <v>15</v>
      </c>
      <c r="HI17" s="60"/>
      <c r="HJ17" s="60"/>
      <c r="HK17" s="86"/>
      <c r="HL17" s="60"/>
      <c r="HM17" s="81">
        <v>15</v>
      </c>
      <c r="HN17" s="60"/>
      <c r="HO17" s="60"/>
      <c r="HP17" s="86"/>
      <c r="HQ17" s="60"/>
      <c r="HR17" s="81">
        <v>15</v>
      </c>
      <c r="HS17" s="60"/>
      <c r="HT17" s="60"/>
      <c r="HU17" s="86"/>
    </row>
    <row r="18" spans="1:229" x14ac:dyDescent="0.25">
      <c r="A18" t="s">
        <v>21</v>
      </c>
      <c r="B18" s="4">
        <v>15</v>
      </c>
      <c r="C18" s="92">
        <v>3425</v>
      </c>
      <c r="D18" s="92">
        <v>10721</v>
      </c>
      <c r="E18" s="92">
        <v>3784</v>
      </c>
      <c r="G18" s="4">
        <v>15</v>
      </c>
      <c r="H18" s="95">
        <v>6001</v>
      </c>
      <c r="I18" s="95">
        <v>14612</v>
      </c>
      <c r="J18" s="95">
        <v>3883</v>
      </c>
      <c r="L18" s="4">
        <v>15</v>
      </c>
      <c r="M18" s="92">
        <v>6325</v>
      </c>
      <c r="N18" s="92">
        <v>15713</v>
      </c>
      <c r="O18" s="92">
        <v>4408</v>
      </c>
      <c r="Q18" s="4">
        <v>15</v>
      </c>
      <c r="R18" s="92">
        <v>6212</v>
      </c>
      <c r="S18" s="92">
        <v>11632</v>
      </c>
      <c r="T18" s="92">
        <v>3545</v>
      </c>
      <c r="AA18" s="4">
        <v>15</v>
      </c>
      <c r="AB18" s="92">
        <v>2576</v>
      </c>
      <c r="AC18" s="92">
        <v>8323</v>
      </c>
      <c r="AD18" s="92">
        <v>3326</v>
      </c>
      <c r="AF18" s="4">
        <v>15</v>
      </c>
      <c r="AG18" s="92">
        <v>3767</v>
      </c>
      <c r="AH18" s="92">
        <v>13236</v>
      </c>
      <c r="AI18" s="92">
        <v>4144</v>
      </c>
      <c r="AK18" s="4">
        <v>15</v>
      </c>
      <c r="AL18" s="92">
        <v>9182</v>
      </c>
      <c r="AM18" s="92">
        <v>17984</v>
      </c>
      <c r="AN18" s="92">
        <v>7215</v>
      </c>
      <c r="AP18" s="4">
        <v>15</v>
      </c>
      <c r="AQ18" s="92">
        <v>14298</v>
      </c>
      <c r="AR18" s="92">
        <v>21735</v>
      </c>
      <c r="AS18" s="92">
        <v>5932</v>
      </c>
      <c r="BE18" s="4">
        <v>15</v>
      </c>
      <c r="BF18" s="92">
        <v>7016</v>
      </c>
      <c r="BG18" s="92">
        <v>14672</v>
      </c>
      <c r="BH18" s="92">
        <v>4017</v>
      </c>
      <c r="BZ18" t="s">
        <v>21</v>
      </c>
      <c r="CA18" s="4">
        <v>15</v>
      </c>
      <c r="CB18" s="92">
        <v>12160</v>
      </c>
      <c r="CC18" s="92">
        <v>19524</v>
      </c>
      <c r="CD18" s="92">
        <v>5875</v>
      </c>
      <c r="CF18" s="4">
        <v>15</v>
      </c>
      <c r="CG18" s="92">
        <v>9584</v>
      </c>
      <c r="CH18" s="92">
        <v>15399</v>
      </c>
      <c r="CI18" s="92">
        <v>5191</v>
      </c>
      <c r="CK18" s="4">
        <v>15</v>
      </c>
      <c r="CL18" s="92">
        <v>12897</v>
      </c>
      <c r="CM18" s="92">
        <v>22696</v>
      </c>
      <c r="CN18" s="92">
        <v>6427</v>
      </c>
      <c r="CP18" s="4">
        <v>15</v>
      </c>
      <c r="CQ18" s="92">
        <v>12438</v>
      </c>
      <c r="CR18" s="92">
        <v>19784</v>
      </c>
      <c r="CS18" s="92">
        <v>5386</v>
      </c>
      <c r="CU18" s="4">
        <v>15</v>
      </c>
      <c r="CZ18" s="4">
        <v>15</v>
      </c>
      <c r="DA18" s="92">
        <v>7411</v>
      </c>
      <c r="DB18" s="92">
        <v>14713</v>
      </c>
      <c r="DC18" s="92">
        <v>4500</v>
      </c>
      <c r="DE18" s="4">
        <v>15</v>
      </c>
      <c r="DF18" s="92">
        <v>10281</v>
      </c>
      <c r="DG18" s="92">
        <v>20126</v>
      </c>
      <c r="DH18" s="92">
        <v>5250</v>
      </c>
      <c r="DJ18" s="4">
        <v>15</v>
      </c>
      <c r="DK18" s="92">
        <v>26855</v>
      </c>
      <c r="DL18" s="92">
        <v>36837</v>
      </c>
      <c r="DM18" s="92">
        <v>9232</v>
      </c>
      <c r="DO18" s="4">
        <v>15</v>
      </c>
      <c r="DP18" s="92">
        <v>29517</v>
      </c>
      <c r="DQ18" s="92">
        <v>38647</v>
      </c>
      <c r="DR18" s="92">
        <v>9080</v>
      </c>
      <c r="DT18" s="4">
        <v>15</v>
      </c>
      <c r="DY18" s="4">
        <v>15</v>
      </c>
      <c r="ED18" s="4">
        <v>15</v>
      </c>
      <c r="EE18" s="92">
        <v>20025</v>
      </c>
      <c r="EF18" s="92">
        <v>19406</v>
      </c>
      <c r="EG18" s="92">
        <v>5756</v>
      </c>
      <c r="EI18" s="4">
        <v>15</v>
      </c>
      <c r="EN18" s="4">
        <v>15</v>
      </c>
      <c r="ES18" s="4">
        <v>15</v>
      </c>
      <c r="EY18" s="60" t="s">
        <v>21</v>
      </c>
      <c r="EZ18" s="81">
        <v>16</v>
      </c>
      <c r="FA18" s="102"/>
      <c r="FB18" s="102"/>
      <c r="FC18" s="103"/>
      <c r="FD18" s="82"/>
      <c r="FE18" s="81">
        <v>16</v>
      </c>
      <c r="FF18" s="98">
        <v>25095</v>
      </c>
      <c r="FG18" s="98">
        <v>36388</v>
      </c>
      <c r="FH18" s="99">
        <v>7641</v>
      </c>
      <c r="FI18" s="82"/>
      <c r="FJ18" s="81">
        <v>16</v>
      </c>
      <c r="FK18" s="98">
        <v>46104</v>
      </c>
      <c r="FL18" s="98">
        <v>41671</v>
      </c>
      <c r="FM18" s="99">
        <v>9816</v>
      </c>
      <c r="FN18" s="82"/>
      <c r="FO18" s="81">
        <v>16</v>
      </c>
      <c r="FP18" s="98">
        <v>10116</v>
      </c>
      <c r="FQ18" s="98">
        <v>15215</v>
      </c>
      <c r="FR18" s="99">
        <v>4076</v>
      </c>
      <c r="FS18" s="82"/>
      <c r="FT18" s="81">
        <v>16</v>
      </c>
      <c r="FU18" s="60"/>
      <c r="FV18" s="60"/>
      <c r="FW18" s="86"/>
      <c r="FX18" s="60"/>
      <c r="FY18" s="81">
        <v>16</v>
      </c>
      <c r="FZ18" s="102"/>
      <c r="GA18" s="102"/>
      <c r="GB18" s="103"/>
      <c r="GC18" s="82"/>
      <c r="GD18" s="81">
        <v>16</v>
      </c>
      <c r="GE18" s="98">
        <v>12260</v>
      </c>
      <c r="GF18" s="98">
        <v>23484</v>
      </c>
      <c r="GG18" s="99">
        <v>5558</v>
      </c>
      <c r="GH18" s="82"/>
      <c r="GI18" s="81">
        <v>16</v>
      </c>
      <c r="GJ18" s="98">
        <v>36972</v>
      </c>
      <c r="GK18" s="98">
        <v>53714</v>
      </c>
      <c r="GL18" s="99">
        <v>9946</v>
      </c>
      <c r="GM18" s="82"/>
      <c r="GN18" s="81">
        <v>16</v>
      </c>
      <c r="GO18" s="98">
        <v>29251</v>
      </c>
      <c r="GP18" s="98">
        <v>32585</v>
      </c>
      <c r="GQ18" s="99">
        <v>7664</v>
      </c>
      <c r="GR18" s="82"/>
      <c r="GS18" s="81">
        <v>16</v>
      </c>
      <c r="GT18" s="60"/>
      <c r="GU18" s="60"/>
      <c r="GV18" s="86"/>
      <c r="GW18" s="60"/>
      <c r="GX18" s="81">
        <v>16</v>
      </c>
      <c r="GY18" s="60"/>
      <c r="GZ18" s="60"/>
      <c r="HA18" s="86"/>
      <c r="HB18" s="60"/>
      <c r="HC18" s="81">
        <v>16</v>
      </c>
      <c r="HD18" s="98">
        <v>66804</v>
      </c>
      <c r="HE18" s="98">
        <v>41458</v>
      </c>
      <c r="HF18" s="99">
        <v>10366</v>
      </c>
      <c r="HG18" s="82"/>
      <c r="HH18" s="81">
        <v>16</v>
      </c>
      <c r="HI18" s="60"/>
      <c r="HJ18" s="60"/>
      <c r="HK18" s="86"/>
      <c r="HL18" s="60"/>
      <c r="HM18" s="81">
        <v>16</v>
      </c>
      <c r="HN18" s="60"/>
      <c r="HO18" s="60"/>
      <c r="HP18" s="86"/>
      <c r="HQ18" s="60"/>
      <c r="HR18" s="81">
        <v>16</v>
      </c>
      <c r="HS18" s="60"/>
      <c r="HT18" s="60"/>
      <c r="HU18" s="86"/>
    </row>
    <row r="19" spans="1:229" x14ac:dyDescent="0.25">
      <c r="A19" t="s">
        <v>21</v>
      </c>
      <c r="B19" s="4">
        <v>16</v>
      </c>
      <c r="C19" s="92">
        <v>4080</v>
      </c>
      <c r="D19" s="92">
        <v>11685</v>
      </c>
      <c r="E19" s="92">
        <v>4107</v>
      </c>
      <c r="G19" s="4">
        <v>16</v>
      </c>
      <c r="H19" s="95">
        <v>6326</v>
      </c>
      <c r="I19" s="95">
        <v>12231</v>
      </c>
      <c r="J19" s="95">
        <v>4693</v>
      </c>
      <c r="L19" s="4">
        <v>16</v>
      </c>
      <c r="M19" s="92">
        <v>5215</v>
      </c>
      <c r="N19" s="92">
        <v>12901</v>
      </c>
      <c r="O19" s="92">
        <v>3196</v>
      </c>
      <c r="Q19" s="4">
        <v>16</v>
      </c>
      <c r="R19" s="92">
        <v>4562</v>
      </c>
      <c r="S19" s="92">
        <v>9700</v>
      </c>
      <c r="T19" s="92">
        <v>3567</v>
      </c>
      <c r="AA19" s="4">
        <v>16</v>
      </c>
      <c r="AB19" s="92">
        <v>3553</v>
      </c>
      <c r="AC19" s="92">
        <v>10902</v>
      </c>
      <c r="AD19" s="92">
        <v>2899</v>
      </c>
      <c r="AF19" s="4">
        <v>16</v>
      </c>
      <c r="AG19" s="92">
        <v>5365</v>
      </c>
      <c r="AH19" s="92">
        <v>11671</v>
      </c>
      <c r="AI19" s="92">
        <v>3936</v>
      </c>
      <c r="AK19" s="4">
        <v>16</v>
      </c>
      <c r="AL19" s="92">
        <v>8482</v>
      </c>
      <c r="AM19" s="92">
        <v>18051</v>
      </c>
      <c r="AN19" s="92">
        <v>6463</v>
      </c>
      <c r="AP19" s="4">
        <v>16</v>
      </c>
      <c r="AQ19" s="92">
        <v>4114</v>
      </c>
      <c r="AR19" s="92">
        <v>10953</v>
      </c>
      <c r="AS19" s="92">
        <v>3354</v>
      </c>
      <c r="BE19" s="4">
        <v>16</v>
      </c>
      <c r="BF19" s="92">
        <v>13603</v>
      </c>
      <c r="BG19" s="92">
        <v>24205</v>
      </c>
      <c r="BH19" s="92">
        <v>5550</v>
      </c>
      <c r="BZ19" t="s">
        <v>21</v>
      </c>
      <c r="CA19" s="4">
        <v>16</v>
      </c>
      <c r="CB19" s="96">
        <v>6519</v>
      </c>
      <c r="CC19" s="96">
        <v>10647</v>
      </c>
      <c r="CD19" s="96">
        <v>3620</v>
      </c>
      <c r="CF19" s="4">
        <v>16</v>
      </c>
      <c r="CG19" s="92">
        <v>14427</v>
      </c>
      <c r="CH19" s="92">
        <v>22487</v>
      </c>
      <c r="CI19" s="92">
        <v>5254</v>
      </c>
      <c r="CK19" s="4">
        <v>16</v>
      </c>
      <c r="CL19" s="92">
        <v>21348</v>
      </c>
      <c r="CM19" s="92">
        <v>24447</v>
      </c>
      <c r="CN19" s="92">
        <v>6731</v>
      </c>
      <c r="CP19" s="4">
        <v>16</v>
      </c>
      <c r="CQ19" s="92">
        <v>6002</v>
      </c>
      <c r="CR19" s="92">
        <v>12222</v>
      </c>
      <c r="CS19" s="92">
        <v>3810</v>
      </c>
      <c r="CU19" s="4">
        <v>16</v>
      </c>
      <c r="CZ19" s="4">
        <v>16</v>
      </c>
      <c r="DA19" s="96">
        <v>3546</v>
      </c>
      <c r="DB19" s="96">
        <v>7744</v>
      </c>
      <c r="DC19" s="96">
        <v>2909</v>
      </c>
      <c r="DE19" s="4">
        <v>16</v>
      </c>
      <c r="DF19" s="92">
        <v>9566</v>
      </c>
      <c r="DG19" s="92">
        <v>14117</v>
      </c>
      <c r="DH19" s="92">
        <v>4926</v>
      </c>
      <c r="DJ19" s="4">
        <v>16</v>
      </c>
      <c r="DK19" s="92">
        <v>14668</v>
      </c>
      <c r="DL19" s="92">
        <v>25472</v>
      </c>
      <c r="DM19" s="92">
        <v>7611</v>
      </c>
      <c r="DO19" s="4">
        <v>16</v>
      </c>
      <c r="DP19" s="92">
        <v>12023</v>
      </c>
      <c r="DQ19" s="92">
        <v>20168</v>
      </c>
      <c r="DR19" s="92">
        <v>4846</v>
      </c>
      <c r="DT19" s="4">
        <v>16</v>
      </c>
      <c r="DY19" s="4">
        <v>16</v>
      </c>
      <c r="ED19" s="4">
        <v>16</v>
      </c>
      <c r="EE19" s="92">
        <v>36517</v>
      </c>
      <c r="EF19" s="92">
        <v>38571</v>
      </c>
      <c r="EG19" s="92">
        <v>7681</v>
      </c>
      <c r="EI19" s="4">
        <v>16</v>
      </c>
      <c r="EN19" s="4">
        <v>16</v>
      </c>
      <c r="ES19" s="4">
        <v>16</v>
      </c>
      <c r="EY19" s="60" t="s">
        <v>21</v>
      </c>
      <c r="EZ19" s="81">
        <v>17</v>
      </c>
      <c r="FA19" s="98">
        <v>9189</v>
      </c>
      <c r="FB19" s="98">
        <v>20525</v>
      </c>
      <c r="FC19" s="99">
        <v>5214</v>
      </c>
      <c r="FD19" s="82"/>
      <c r="FE19" s="81">
        <v>17</v>
      </c>
      <c r="FF19" s="98">
        <v>25807</v>
      </c>
      <c r="FG19" s="98">
        <v>35650</v>
      </c>
      <c r="FH19" s="99">
        <v>8207</v>
      </c>
      <c r="FI19" s="82"/>
      <c r="FJ19" s="81">
        <v>17</v>
      </c>
      <c r="FK19" s="98">
        <v>23336</v>
      </c>
      <c r="FL19" s="98">
        <v>24643</v>
      </c>
      <c r="FM19" s="99">
        <v>6329</v>
      </c>
      <c r="FN19" s="82"/>
      <c r="FO19" s="81">
        <v>17</v>
      </c>
      <c r="FP19" s="98">
        <v>23809</v>
      </c>
      <c r="FQ19" s="98">
        <v>29474</v>
      </c>
      <c r="FR19" s="99">
        <v>7641</v>
      </c>
      <c r="FS19" s="82"/>
      <c r="FT19" s="81">
        <v>17</v>
      </c>
      <c r="FU19" s="60"/>
      <c r="FV19" s="60"/>
      <c r="FW19" s="86"/>
      <c r="FX19" s="60"/>
      <c r="FY19" s="81">
        <v>17</v>
      </c>
      <c r="FZ19" s="98">
        <v>3180</v>
      </c>
      <c r="GA19" s="98">
        <v>7222</v>
      </c>
      <c r="GB19" s="99">
        <v>2113</v>
      </c>
      <c r="GC19" s="82"/>
      <c r="GD19" s="81">
        <v>17</v>
      </c>
      <c r="GE19" s="98">
        <v>18233</v>
      </c>
      <c r="GF19" s="98">
        <v>29950</v>
      </c>
      <c r="GG19" s="99">
        <v>7256</v>
      </c>
      <c r="GH19" s="82"/>
      <c r="GI19" s="81">
        <v>17</v>
      </c>
      <c r="GJ19" s="98">
        <v>28452</v>
      </c>
      <c r="GK19" s="98">
        <v>32989</v>
      </c>
      <c r="GL19" s="99">
        <v>7813</v>
      </c>
      <c r="GM19" s="82"/>
      <c r="GN19" s="81">
        <v>17</v>
      </c>
      <c r="GO19" s="98">
        <v>37369</v>
      </c>
      <c r="GP19" s="98">
        <v>38880</v>
      </c>
      <c r="GQ19" s="99">
        <v>8808</v>
      </c>
      <c r="GR19" s="82"/>
      <c r="GS19" s="81">
        <v>17</v>
      </c>
      <c r="GT19" s="60"/>
      <c r="GU19" s="60"/>
      <c r="GV19" s="86"/>
      <c r="GW19" s="60"/>
      <c r="GX19" s="81">
        <v>17</v>
      </c>
      <c r="GY19" s="60"/>
      <c r="GZ19" s="60"/>
      <c r="HA19" s="86"/>
      <c r="HB19" s="60"/>
      <c r="HC19" s="81">
        <v>17</v>
      </c>
      <c r="HD19" s="98">
        <v>34875</v>
      </c>
      <c r="HE19" s="98">
        <v>35894</v>
      </c>
      <c r="HF19" s="99">
        <v>7683</v>
      </c>
      <c r="HG19" s="82"/>
      <c r="HH19" s="81">
        <v>17</v>
      </c>
      <c r="HI19" s="60"/>
      <c r="HJ19" s="60"/>
      <c r="HK19" s="86"/>
      <c r="HL19" s="60"/>
      <c r="HM19" s="81">
        <v>17</v>
      </c>
      <c r="HN19" s="60"/>
      <c r="HO19" s="60"/>
      <c r="HP19" s="86"/>
      <c r="HQ19" s="60"/>
      <c r="HR19" s="81">
        <v>17</v>
      </c>
      <c r="HS19" s="60"/>
      <c r="HT19" s="60"/>
      <c r="HU19" s="86"/>
    </row>
    <row r="20" spans="1:229" x14ac:dyDescent="0.25">
      <c r="A20" t="s">
        <v>21</v>
      </c>
      <c r="B20" s="4">
        <v>17</v>
      </c>
      <c r="C20" s="92">
        <v>4096</v>
      </c>
      <c r="D20" s="92">
        <v>10514</v>
      </c>
      <c r="E20" s="92">
        <v>3719</v>
      </c>
      <c r="G20" s="4">
        <v>17</v>
      </c>
      <c r="H20" s="95">
        <v>3018</v>
      </c>
      <c r="I20" s="95">
        <v>8672</v>
      </c>
      <c r="J20" s="95">
        <v>2607</v>
      </c>
      <c r="L20" s="4">
        <v>17</v>
      </c>
      <c r="M20" s="92">
        <v>4756</v>
      </c>
      <c r="N20" s="92">
        <v>11978</v>
      </c>
      <c r="O20" s="92">
        <v>3860</v>
      </c>
      <c r="Q20" s="4">
        <v>17</v>
      </c>
      <c r="R20" s="92">
        <v>6215</v>
      </c>
      <c r="S20" s="92">
        <v>11975</v>
      </c>
      <c r="T20" s="92">
        <v>4827</v>
      </c>
      <c r="AA20" s="4">
        <v>17</v>
      </c>
      <c r="AB20" s="92">
        <v>3002</v>
      </c>
      <c r="AC20" s="92">
        <v>10513</v>
      </c>
      <c r="AD20" s="92">
        <v>3763</v>
      </c>
      <c r="AF20" s="4">
        <v>17</v>
      </c>
      <c r="AG20" s="92">
        <v>3529</v>
      </c>
      <c r="AH20" s="92">
        <v>10770</v>
      </c>
      <c r="AI20" s="92">
        <v>4010</v>
      </c>
      <c r="AK20" s="4">
        <v>17</v>
      </c>
      <c r="AL20" s="92">
        <v>3831</v>
      </c>
      <c r="AM20" s="92">
        <v>10767</v>
      </c>
      <c r="AN20" s="92">
        <v>4114</v>
      </c>
      <c r="AP20" s="4">
        <v>17</v>
      </c>
      <c r="AQ20" s="92">
        <v>4344</v>
      </c>
      <c r="AR20" s="92">
        <v>12132</v>
      </c>
      <c r="AS20" s="92">
        <v>4341</v>
      </c>
      <c r="BE20" s="4">
        <v>17</v>
      </c>
      <c r="BF20" s="92">
        <v>11778</v>
      </c>
      <c r="BG20" s="92">
        <v>18667</v>
      </c>
      <c r="BH20" s="92">
        <v>5147</v>
      </c>
      <c r="BZ20" t="s">
        <v>21</v>
      </c>
      <c r="CA20" s="4">
        <v>17</v>
      </c>
      <c r="CB20" s="92">
        <v>6643</v>
      </c>
      <c r="CC20" s="92">
        <v>14708</v>
      </c>
      <c r="CD20" s="92">
        <v>4587</v>
      </c>
      <c r="CF20" s="4">
        <v>17</v>
      </c>
      <c r="CG20" s="92">
        <v>15701</v>
      </c>
      <c r="CH20" s="92">
        <v>24461</v>
      </c>
      <c r="CI20" s="92">
        <v>6761</v>
      </c>
      <c r="CK20" s="4">
        <v>17</v>
      </c>
      <c r="CL20" s="92">
        <v>14756</v>
      </c>
      <c r="CM20" s="92">
        <v>20091</v>
      </c>
      <c r="CN20" s="92">
        <v>5915</v>
      </c>
      <c r="CP20" s="4">
        <v>17</v>
      </c>
      <c r="CQ20" s="92">
        <v>9648</v>
      </c>
      <c r="CR20" s="92">
        <v>18593</v>
      </c>
      <c r="CS20" s="92">
        <v>5812</v>
      </c>
      <c r="CU20" s="4">
        <v>17</v>
      </c>
      <c r="CZ20" s="4">
        <v>17</v>
      </c>
      <c r="DA20" s="92">
        <v>5711</v>
      </c>
      <c r="DB20" s="92">
        <v>13848</v>
      </c>
      <c r="DC20" s="92">
        <v>4957</v>
      </c>
      <c r="DE20" s="4">
        <v>17</v>
      </c>
      <c r="DF20" s="92">
        <v>10988</v>
      </c>
      <c r="DG20" s="92">
        <v>19342</v>
      </c>
      <c r="DH20" s="92">
        <v>5839</v>
      </c>
      <c r="DJ20" s="4">
        <v>17</v>
      </c>
      <c r="DK20" s="92">
        <v>8926</v>
      </c>
      <c r="DL20" s="92">
        <v>18197</v>
      </c>
      <c r="DM20" s="92">
        <v>5390</v>
      </c>
      <c r="DO20" s="4">
        <v>17</v>
      </c>
      <c r="DP20" s="92">
        <v>10871</v>
      </c>
      <c r="DQ20" s="92">
        <v>21493</v>
      </c>
      <c r="DR20" s="92">
        <v>5517</v>
      </c>
      <c r="DT20" s="4">
        <v>17</v>
      </c>
      <c r="DY20" s="4">
        <v>17</v>
      </c>
      <c r="ED20" s="4">
        <v>17</v>
      </c>
      <c r="EE20" s="92">
        <v>16825</v>
      </c>
      <c r="EF20" s="92">
        <v>22556</v>
      </c>
      <c r="EG20" s="92">
        <v>5461</v>
      </c>
      <c r="EI20" s="4">
        <v>17</v>
      </c>
      <c r="EN20" s="4">
        <v>17</v>
      </c>
      <c r="ES20" s="4">
        <v>17</v>
      </c>
      <c r="EY20" s="60" t="s">
        <v>21</v>
      </c>
      <c r="EZ20" s="81">
        <v>18</v>
      </c>
      <c r="FA20" s="98">
        <v>8420</v>
      </c>
      <c r="FB20" s="98">
        <v>21496</v>
      </c>
      <c r="FC20" s="99">
        <v>4799</v>
      </c>
      <c r="FD20" s="82"/>
      <c r="FE20" s="81">
        <v>18</v>
      </c>
      <c r="FF20" s="98">
        <v>8209</v>
      </c>
      <c r="FG20" s="98">
        <v>16728</v>
      </c>
      <c r="FH20" s="99">
        <v>4560</v>
      </c>
      <c r="FI20" s="82"/>
      <c r="FJ20" s="81">
        <v>18</v>
      </c>
      <c r="FK20" s="98">
        <v>30742</v>
      </c>
      <c r="FL20" s="98">
        <v>37371</v>
      </c>
      <c r="FM20" s="99">
        <v>9265</v>
      </c>
      <c r="FN20" s="82"/>
      <c r="FO20" s="81">
        <v>18</v>
      </c>
      <c r="FP20" s="98">
        <v>25718</v>
      </c>
      <c r="FQ20" s="98">
        <v>29697</v>
      </c>
      <c r="FR20" s="99">
        <v>7447</v>
      </c>
      <c r="FS20" s="82"/>
      <c r="FT20" s="81">
        <v>18</v>
      </c>
      <c r="FU20" s="60"/>
      <c r="FV20" s="60"/>
      <c r="FW20" s="86"/>
      <c r="FX20" s="60"/>
      <c r="FY20" s="81">
        <v>18</v>
      </c>
      <c r="FZ20" s="98">
        <v>4631</v>
      </c>
      <c r="GA20" s="98">
        <v>9817</v>
      </c>
      <c r="GB20" s="99">
        <v>3099</v>
      </c>
      <c r="GC20" s="82"/>
      <c r="GD20" s="81">
        <v>18</v>
      </c>
      <c r="GE20" s="102"/>
      <c r="GF20" s="102"/>
      <c r="GG20" s="103"/>
      <c r="GH20" s="82"/>
      <c r="GI20" s="81">
        <v>18</v>
      </c>
      <c r="GJ20" s="98">
        <v>38956</v>
      </c>
      <c r="GK20" s="98">
        <v>47137</v>
      </c>
      <c r="GL20" s="99">
        <v>9559</v>
      </c>
      <c r="GM20" s="82"/>
      <c r="GN20" s="81">
        <v>18</v>
      </c>
      <c r="GO20" s="98">
        <v>28869</v>
      </c>
      <c r="GP20" s="98">
        <v>41018</v>
      </c>
      <c r="GQ20" s="99">
        <v>8350</v>
      </c>
      <c r="GR20" s="82"/>
      <c r="GS20" s="81">
        <v>18</v>
      </c>
      <c r="GT20" s="60"/>
      <c r="GU20" s="60"/>
      <c r="GV20" s="86"/>
      <c r="GW20" s="60"/>
      <c r="GX20" s="81">
        <v>18</v>
      </c>
      <c r="GY20" s="60"/>
      <c r="GZ20" s="60"/>
      <c r="HA20" s="86"/>
      <c r="HB20" s="60"/>
      <c r="HC20" s="81">
        <v>18</v>
      </c>
      <c r="HD20" s="98">
        <v>38105</v>
      </c>
      <c r="HE20" s="98">
        <v>38435</v>
      </c>
      <c r="HF20" s="99">
        <v>9024</v>
      </c>
      <c r="HG20" s="82"/>
      <c r="HH20" s="81">
        <v>18</v>
      </c>
      <c r="HI20" s="60"/>
      <c r="HJ20" s="60"/>
      <c r="HK20" s="86"/>
      <c r="HL20" s="60"/>
      <c r="HM20" s="81">
        <v>18</v>
      </c>
      <c r="HN20" s="60"/>
      <c r="HO20" s="60"/>
      <c r="HP20" s="86"/>
      <c r="HQ20" s="60"/>
      <c r="HR20" s="81">
        <v>18</v>
      </c>
      <c r="HS20" s="60"/>
      <c r="HT20" s="60"/>
      <c r="HU20" s="86"/>
    </row>
    <row r="21" spans="1:229" x14ac:dyDescent="0.25">
      <c r="A21" t="s">
        <v>21</v>
      </c>
      <c r="B21" s="4">
        <v>18</v>
      </c>
      <c r="C21" s="92">
        <v>3586</v>
      </c>
      <c r="D21" s="92">
        <v>9683</v>
      </c>
      <c r="E21" s="92">
        <v>3568</v>
      </c>
      <c r="G21" s="4">
        <v>18</v>
      </c>
      <c r="H21" s="95">
        <v>3815</v>
      </c>
      <c r="I21" s="95">
        <v>10277</v>
      </c>
      <c r="J21" s="95">
        <v>3213</v>
      </c>
      <c r="L21" s="4">
        <v>18</v>
      </c>
      <c r="M21" s="92">
        <v>5717</v>
      </c>
      <c r="N21" s="92">
        <v>14452</v>
      </c>
      <c r="O21" s="92">
        <v>4589</v>
      </c>
      <c r="Q21" s="4">
        <v>18</v>
      </c>
      <c r="R21" s="92">
        <v>6427</v>
      </c>
      <c r="S21" s="92">
        <v>12167</v>
      </c>
      <c r="T21" s="92">
        <v>4447</v>
      </c>
      <c r="AA21" s="4">
        <v>19</v>
      </c>
      <c r="AB21" s="92">
        <v>2657</v>
      </c>
      <c r="AC21" s="92">
        <v>10076</v>
      </c>
      <c r="AD21" s="92">
        <v>2407</v>
      </c>
      <c r="AF21" s="4">
        <v>19</v>
      </c>
      <c r="AG21" s="92">
        <v>5197</v>
      </c>
      <c r="AH21" s="92">
        <v>12381</v>
      </c>
      <c r="AI21" s="92">
        <v>4488</v>
      </c>
      <c r="AK21" s="4">
        <v>19</v>
      </c>
      <c r="AL21" s="92">
        <v>6266</v>
      </c>
      <c r="AM21" s="92">
        <v>14539</v>
      </c>
      <c r="AN21" s="92">
        <v>4177</v>
      </c>
      <c r="AP21" s="4">
        <v>19</v>
      </c>
      <c r="AQ21" s="92">
        <v>5721</v>
      </c>
      <c r="AR21" s="92">
        <v>11332</v>
      </c>
      <c r="AS21" s="92">
        <v>4037</v>
      </c>
      <c r="BE21" s="4">
        <v>18</v>
      </c>
      <c r="BF21" s="92">
        <v>5911</v>
      </c>
      <c r="BG21" s="92">
        <v>11692</v>
      </c>
      <c r="BH21" s="92">
        <v>4728</v>
      </c>
      <c r="BZ21" t="s">
        <v>21</v>
      </c>
      <c r="CA21" s="4">
        <v>18</v>
      </c>
      <c r="CB21" s="92">
        <v>5441</v>
      </c>
      <c r="CC21" s="92">
        <v>12233</v>
      </c>
      <c r="CD21" s="92">
        <v>4193</v>
      </c>
      <c r="CF21" s="4">
        <v>18</v>
      </c>
      <c r="CG21" s="92">
        <v>5831</v>
      </c>
      <c r="CH21" s="92">
        <v>12870</v>
      </c>
      <c r="CI21" s="92">
        <v>4230</v>
      </c>
      <c r="CK21" s="4">
        <v>18</v>
      </c>
      <c r="CL21" s="92">
        <v>14120</v>
      </c>
      <c r="CM21" s="92">
        <v>21487</v>
      </c>
      <c r="CN21" s="92">
        <v>6864</v>
      </c>
      <c r="CP21" s="4">
        <v>18</v>
      </c>
      <c r="CQ21" s="92">
        <v>15150</v>
      </c>
      <c r="CR21" s="92">
        <v>20235</v>
      </c>
      <c r="CS21" s="92">
        <v>6340</v>
      </c>
      <c r="CU21" s="4">
        <v>18</v>
      </c>
      <c r="CZ21" s="4">
        <v>18</v>
      </c>
      <c r="DA21" s="92">
        <v>3147</v>
      </c>
      <c r="DB21" s="92">
        <v>7781</v>
      </c>
      <c r="DC21" s="92">
        <v>2102</v>
      </c>
      <c r="DE21" s="4">
        <v>18</v>
      </c>
      <c r="DF21" s="92">
        <v>12553</v>
      </c>
      <c r="DG21" s="92">
        <v>23642</v>
      </c>
      <c r="DH21" s="92">
        <v>6364</v>
      </c>
      <c r="DJ21" s="4">
        <v>18</v>
      </c>
      <c r="DK21" s="92">
        <v>17090</v>
      </c>
      <c r="DL21" s="92">
        <v>21848</v>
      </c>
      <c r="DM21" s="92">
        <v>6586</v>
      </c>
      <c r="DO21" s="4">
        <v>18</v>
      </c>
      <c r="DP21" s="92">
        <v>14991</v>
      </c>
      <c r="DQ21" s="92">
        <v>23665</v>
      </c>
      <c r="DR21" s="92">
        <v>6489</v>
      </c>
      <c r="DT21" s="4">
        <v>18</v>
      </c>
      <c r="DY21" s="4">
        <v>18</v>
      </c>
      <c r="ED21" s="4">
        <v>18</v>
      </c>
      <c r="EE21" s="92">
        <v>15391</v>
      </c>
      <c r="EF21" s="92">
        <v>21283</v>
      </c>
      <c r="EG21" s="92">
        <v>6438</v>
      </c>
      <c r="EI21" s="4">
        <v>18</v>
      </c>
      <c r="EN21" s="4">
        <v>18</v>
      </c>
      <c r="ES21" s="4">
        <v>18</v>
      </c>
      <c r="EY21" s="60" t="s">
        <v>21</v>
      </c>
      <c r="EZ21" s="81">
        <v>19</v>
      </c>
      <c r="FA21" s="102"/>
      <c r="FB21" s="102"/>
      <c r="FC21" s="103"/>
      <c r="FD21" s="82"/>
      <c r="FE21" s="81">
        <v>19</v>
      </c>
      <c r="FF21" s="98">
        <v>17476</v>
      </c>
      <c r="FG21" s="98">
        <v>32332</v>
      </c>
      <c r="FH21" s="99">
        <v>6958</v>
      </c>
      <c r="FI21" s="82"/>
      <c r="FJ21" s="81">
        <v>19</v>
      </c>
      <c r="FK21" s="98">
        <v>42693</v>
      </c>
      <c r="FL21" s="98">
        <v>41628</v>
      </c>
      <c r="FM21" s="99">
        <v>9993</v>
      </c>
      <c r="FN21" s="82"/>
      <c r="FO21" s="81">
        <v>19</v>
      </c>
      <c r="FP21" s="98">
        <v>24363</v>
      </c>
      <c r="FQ21" s="98">
        <v>28839</v>
      </c>
      <c r="FR21" s="99">
        <v>6699</v>
      </c>
      <c r="FS21" s="82"/>
      <c r="FT21" s="81">
        <v>19</v>
      </c>
      <c r="FU21" s="60"/>
      <c r="FV21" s="60"/>
      <c r="FW21" s="86"/>
      <c r="FX21" s="60"/>
      <c r="FY21" s="81">
        <v>19</v>
      </c>
      <c r="FZ21" s="98">
        <v>7723</v>
      </c>
      <c r="GA21" s="98">
        <v>11902</v>
      </c>
      <c r="GB21" s="99">
        <v>4093</v>
      </c>
      <c r="GC21" s="82"/>
      <c r="GD21" s="81">
        <v>19</v>
      </c>
      <c r="GE21" s="98">
        <v>15859</v>
      </c>
      <c r="GF21" s="98">
        <v>20156</v>
      </c>
      <c r="GG21" s="99">
        <v>5371</v>
      </c>
      <c r="GH21" s="82"/>
      <c r="GI21" s="81">
        <v>19</v>
      </c>
      <c r="GJ21" s="98">
        <v>46316</v>
      </c>
      <c r="GK21" s="98">
        <v>46042</v>
      </c>
      <c r="GL21" s="99">
        <v>9403</v>
      </c>
      <c r="GM21" s="82"/>
      <c r="GN21" s="81">
        <v>19</v>
      </c>
      <c r="GO21" s="102"/>
      <c r="GP21" s="102"/>
      <c r="GQ21" s="103"/>
      <c r="GR21" s="82"/>
      <c r="GS21" s="81">
        <v>19</v>
      </c>
      <c r="GT21" s="60"/>
      <c r="GU21" s="60"/>
      <c r="GV21" s="86"/>
      <c r="GW21" s="60"/>
      <c r="GX21" s="81">
        <v>19</v>
      </c>
      <c r="GY21" s="60"/>
      <c r="GZ21" s="60"/>
      <c r="HA21" s="86"/>
      <c r="HB21" s="60"/>
      <c r="HC21" s="81">
        <v>19</v>
      </c>
      <c r="HD21" s="102"/>
      <c r="HE21" s="102"/>
      <c r="HF21" s="103"/>
      <c r="HG21" s="82"/>
      <c r="HH21" s="81">
        <v>19</v>
      </c>
      <c r="HI21" s="60"/>
      <c r="HJ21" s="60"/>
      <c r="HK21" s="86"/>
      <c r="HL21" s="60"/>
      <c r="HM21" s="81">
        <v>19</v>
      </c>
      <c r="HN21" s="60"/>
      <c r="HO21" s="60"/>
      <c r="HP21" s="86"/>
      <c r="HQ21" s="60"/>
      <c r="HR21" s="81">
        <v>19</v>
      </c>
      <c r="HS21" s="60"/>
      <c r="HT21" s="60"/>
      <c r="HU21" s="86"/>
    </row>
    <row r="22" spans="1:229" x14ac:dyDescent="0.25">
      <c r="A22" t="s">
        <v>21</v>
      </c>
      <c r="B22" s="4">
        <v>19</v>
      </c>
      <c r="C22" s="92">
        <v>2303</v>
      </c>
      <c r="D22" s="92">
        <v>8058</v>
      </c>
      <c r="E22" s="92">
        <v>3297</v>
      </c>
      <c r="G22" s="4">
        <v>19</v>
      </c>
      <c r="H22" s="95">
        <v>3837</v>
      </c>
      <c r="I22" s="95">
        <v>9228</v>
      </c>
      <c r="J22" s="95">
        <v>3079</v>
      </c>
      <c r="L22" s="4">
        <v>19</v>
      </c>
      <c r="M22" s="92">
        <v>5697</v>
      </c>
      <c r="N22" s="92">
        <v>14189</v>
      </c>
      <c r="O22" s="92">
        <v>4531</v>
      </c>
      <c r="Q22" s="4">
        <v>19</v>
      </c>
      <c r="R22" s="92">
        <v>4447</v>
      </c>
      <c r="S22" s="92">
        <v>12029</v>
      </c>
      <c r="T22" s="92">
        <v>3669</v>
      </c>
      <c r="AA22" s="4">
        <v>19</v>
      </c>
      <c r="AB22" s="92">
        <v>2835</v>
      </c>
      <c r="AC22" s="92">
        <v>10712</v>
      </c>
      <c r="AD22" s="92">
        <v>2818</v>
      </c>
      <c r="AF22" s="4">
        <v>19</v>
      </c>
      <c r="AG22" s="92">
        <v>5438</v>
      </c>
      <c r="AH22" s="92">
        <v>12532</v>
      </c>
      <c r="AI22" s="92">
        <v>2834</v>
      </c>
      <c r="AK22" s="4">
        <v>19</v>
      </c>
      <c r="AL22" s="92">
        <v>7391</v>
      </c>
      <c r="AM22" s="92">
        <v>16678</v>
      </c>
      <c r="AN22" s="92">
        <v>3826</v>
      </c>
      <c r="AP22" s="4">
        <v>19</v>
      </c>
      <c r="AQ22" s="92">
        <v>4583</v>
      </c>
      <c r="AR22" s="92">
        <v>10355</v>
      </c>
      <c r="AS22" s="92">
        <v>3734</v>
      </c>
      <c r="BE22" s="4">
        <v>19</v>
      </c>
      <c r="BF22" s="92">
        <v>7298</v>
      </c>
      <c r="BG22" s="92">
        <v>12215</v>
      </c>
      <c r="BH22" s="92">
        <v>3615</v>
      </c>
      <c r="BZ22" t="s">
        <v>21</v>
      </c>
      <c r="CA22" s="4">
        <v>19</v>
      </c>
      <c r="CB22" s="92">
        <v>5720</v>
      </c>
      <c r="CC22" s="92">
        <v>12303</v>
      </c>
      <c r="CD22" s="92">
        <v>3879</v>
      </c>
      <c r="CF22" s="4">
        <v>19</v>
      </c>
      <c r="CG22" s="92">
        <v>8923</v>
      </c>
      <c r="CH22" s="92">
        <v>14189</v>
      </c>
      <c r="CI22" s="92">
        <v>4541</v>
      </c>
      <c r="CK22" s="4">
        <v>19</v>
      </c>
      <c r="CL22" s="92">
        <v>23153</v>
      </c>
      <c r="CM22" s="92">
        <v>28100</v>
      </c>
      <c r="CN22" s="92">
        <v>8111</v>
      </c>
      <c r="CP22" s="4">
        <v>19</v>
      </c>
      <c r="CQ22" s="92">
        <v>9646</v>
      </c>
      <c r="CR22" s="92">
        <v>20193</v>
      </c>
      <c r="CS22" s="92">
        <v>5473</v>
      </c>
      <c r="CU22" s="4">
        <v>19</v>
      </c>
      <c r="CZ22" s="4">
        <v>19</v>
      </c>
      <c r="DA22" s="92">
        <v>4238</v>
      </c>
      <c r="DB22" s="92">
        <v>10546</v>
      </c>
      <c r="DC22" s="92">
        <v>3051</v>
      </c>
      <c r="DE22" s="4">
        <v>19</v>
      </c>
      <c r="DF22" s="92">
        <v>10343</v>
      </c>
      <c r="DG22" s="92">
        <v>17442</v>
      </c>
      <c r="DH22" s="92">
        <v>5125</v>
      </c>
      <c r="DJ22" s="4">
        <v>19</v>
      </c>
      <c r="DK22" s="92">
        <v>18903</v>
      </c>
      <c r="DL22" s="92">
        <v>28688</v>
      </c>
      <c r="DM22" s="92">
        <v>6406</v>
      </c>
      <c r="DO22" s="4">
        <v>19</v>
      </c>
      <c r="DP22" s="92">
        <v>11758</v>
      </c>
      <c r="DQ22" s="92">
        <v>20147</v>
      </c>
      <c r="DR22" s="92">
        <v>6089</v>
      </c>
      <c r="DT22" s="4">
        <v>19</v>
      </c>
      <c r="DY22" s="4">
        <v>19</v>
      </c>
      <c r="ED22" s="4">
        <v>19</v>
      </c>
      <c r="EE22" s="92">
        <v>10370</v>
      </c>
      <c r="EF22" s="92">
        <v>15264</v>
      </c>
      <c r="EG22" s="92">
        <v>4562</v>
      </c>
      <c r="EI22" s="4">
        <v>19</v>
      </c>
      <c r="EN22" s="4">
        <v>19</v>
      </c>
      <c r="ES22" s="4">
        <v>19</v>
      </c>
      <c r="EY22" s="60" t="s">
        <v>21</v>
      </c>
      <c r="EZ22" s="81">
        <v>20</v>
      </c>
      <c r="FA22" s="102"/>
      <c r="FB22" s="102"/>
      <c r="FC22" s="103"/>
      <c r="FD22" s="82"/>
      <c r="FE22" s="81">
        <v>20</v>
      </c>
      <c r="FF22" s="98">
        <v>12027</v>
      </c>
      <c r="FG22" s="98">
        <v>20257</v>
      </c>
      <c r="FH22" s="99">
        <v>4484</v>
      </c>
      <c r="FI22" s="82"/>
      <c r="FJ22" s="81">
        <v>20</v>
      </c>
      <c r="FK22" s="98">
        <v>37846</v>
      </c>
      <c r="FL22" s="98">
        <v>33117</v>
      </c>
      <c r="FM22" s="99">
        <v>8013</v>
      </c>
      <c r="FN22" s="82"/>
      <c r="FO22" s="81">
        <v>20</v>
      </c>
      <c r="FP22" s="98">
        <v>29441</v>
      </c>
      <c r="FQ22" s="98">
        <v>29971</v>
      </c>
      <c r="FR22" s="99">
        <v>8016</v>
      </c>
      <c r="FS22" s="82"/>
      <c r="FT22" s="81">
        <v>20</v>
      </c>
      <c r="FU22" s="60"/>
      <c r="FV22" s="60"/>
      <c r="FW22" s="86"/>
      <c r="FX22" s="60"/>
      <c r="FY22" s="81">
        <v>20</v>
      </c>
      <c r="FZ22" s="102"/>
      <c r="GA22" s="102"/>
      <c r="GB22" s="103"/>
      <c r="GC22" s="82"/>
      <c r="GD22" s="81">
        <v>20</v>
      </c>
      <c r="GE22" s="98">
        <v>9519</v>
      </c>
      <c r="GF22" s="98">
        <v>18211</v>
      </c>
      <c r="GG22" s="99">
        <v>5742</v>
      </c>
      <c r="GH22" s="82"/>
      <c r="GI22" s="81">
        <v>20</v>
      </c>
      <c r="GJ22" s="102"/>
      <c r="GK22" s="102"/>
      <c r="GL22" s="103"/>
      <c r="GM22" s="82"/>
      <c r="GN22" s="81">
        <v>20</v>
      </c>
      <c r="GO22" s="102"/>
      <c r="GP22" s="102"/>
      <c r="GQ22" s="103"/>
      <c r="GR22" s="82"/>
      <c r="GS22" s="81">
        <v>20</v>
      </c>
      <c r="GT22" s="60"/>
      <c r="GU22" s="60"/>
      <c r="GV22" s="86"/>
      <c r="GW22" s="60"/>
      <c r="GX22" s="81">
        <v>20</v>
      </c>
      <c r="GY22" s="60"/>
      <c r="GZ22" s="60"/>
      <c r="HA22" s="86"/>
      <c r="HB22" s="60"/>
      <c r="HC22" s="81">
        <v>20</v>
      </c>
      <c r="HD22" s="102"/>
      <c r="HE22" s="102"/>
      <c r="HF22" s="103"/>
      <c r="HG22" s="82"/>
      <c r="HH22" s="81">
        <v>20</v>
      </c>
      <c r="HI22" s="60"/>
      <c r="HJ22" s="60"/>
      <c r="HK22" s="86"/>
      <c r="HL22" s="60"/>
      <c r="HM22" s="81">
        <v>20</v>
      </c>
      <c r="HN22" s="60"/>
      <c r="HO22" s="60"/>
      <c r="HP22" s="86"/>
      <c r="HQ22" s="60"/>
      <c r="HR22" s="81">
        <v>20</v>
      </c>
      <c r="HS22" s="60"/>
      <c r="HT22" s="60"/>
      <c r="HU22" s="86"/>
    </row>
    <row r="23" spans="1:229" x14ac:dyDescent="0.25">
      <c r="A23" t="s">
        <v>21</v>
      </c>
      <c r="B23" s="4">
        <v>20</v>
      </c>
      <c r="C23" s="92">
        <v>1022</v>
      </c>
      <c r="D23" s="92">
        <v>4363</v>
      </c>
      <c r="E23" s="92">
        <v>1408</v>
      </c>
      <c r="G23" s="4">
        <v>20</v>
      </c>
      <c r="H23" s="95">
        <v>2551</v>
      </c>
      <c r="I23" s="95">
        <v>8864</v>
      </c>
      <c r="J23" s="95">
        <v>3130</v>
      </c>
      <c r="L23" s="4">
        <v>20</v>
      </c>
      <c r="M23" s="92">
        <v>4588</v>
      </c>
      <c r="N23" s="92">
        <v>11157</v>
      </c>
      <c r="O23" s="92">
        <v>3191</v>
      </c>
      <c r="Q23" s="4">
        <v>20</v>
      </c>
      <c r="R23" s="92">
        <v>3497</v>
      </c>
      <c r="S23" s="92">
        <v>8947</v>
      </c>
      <c r="T23" s="92">
        <v>3252</v>
      </c>
      <c r="AA23" s="4">
        <v>20</v>
      </c>
      <c r="AB23" s="92">
        <v>3668</v>
      </c>
      <c r="AC23" s="92">
        <v>8968</v>
      </c>
      <c r="AD23" s="92">
        <v>2920</v>
      </c>
      <c r="AF23" s="4">
        <v>20</v>
      </c>
      <c r="AG23" s="92">
        <v>3405</v>
      </c>
      <c r="AH23" s="92">
        <v>9539</v>
      </c>
      <c r="AI23" s="92">
        <v>3991</v>
      </c>
      <c r="AK23" s="4">
        <v>20</v>
      </c>
      <c r="AL23" s="92">
        <v>5896</v>
      </c>
      <c r="AM23" s="92">
        <v>13006</v>
      </c>
      <c r="AN23" s="92">
        <v>4453</v>
      </c>
      <c r="AP23" s="4">
        <v>20</v>
      </c>
      <c r="AQ23" s="92">
        <v>4709</v>
      </c>
      <c r="AR23" s="92">
        <v>10474</v>
      </c>
      <c r="AS23" s="92">
        <v>3855</v>
      </c>
      <c r="BE23" s="4">
        <v>20</v>
      </c>
      <c r="BF23" s="92">
        <v>5784</v>
      </c>
      <c r="BG23" s="92">
        <v>10150</v>
      </c>
      <c r="BH23" s="92">
        <v>3748</v>
      </c>
      <c r="BZ23" t="s">
        <v>21</v>
      </c>
      <c r="CA23" s="4">
        <v>20</v>
      </c>
      <c r="CB23" s="97"/>
      <c r="CC23" s="97"/>
      <c r="CD23" s="97"/>
      <c r="CF23" s="4">
        <v>20</v>
      </c>
      <c r="CG23" s="92">
        <v>6612</v>
      </c>
      <c r="CH23" s="92">
        <v>12866</v>
      </c>
      <c r="CI23" s="92">
        <v>3933</v>
      </c>
      <c r="CK23" s="4">
        <v>20</v>
      </c>
      <c r="CL23" s="92">
        <v>19776</v>
      </c>
      <c r="CM23" s="92">
        <v>24774</v>
      </c>
      <c r="CN23" s="92">
        <v>5861</v>
      </c>
      <c r="CP23" s="4">
        <v>20</v>
      </c>
      <c r="CQ23" s="92">
        <v>10830</v>
      </c>
      <c r="CR23" s="92">
        <v>17903</v>
      </c>
      <c r="CS23" s="92">
        <v>5633</v>
      </c>
      <c r="CU23" s="4">
        <v>20</v>
      </c>
      <c r="CZ23" s="4">
        <v>20</v>
      </c>
      <c r="DA23" s="92">
        <v>9166</v>
      </c>
      <c r="DB23" s="92">
        <v>16334</v>
      </c>
      <c r="DC23" s="92">
        <v>4370</v>
      </c>
      <c r="DE23" s="4">
        <v>20</v>
      </c>
      <c r="DF23" s="92">
        <v>5877</v>
      </c>
      <c r="DG23" s="92">
        <v>13574</v>
      </c>
      <c r="DH23" s="92">
        <v>4788</v>
      </c>
      <c r="DJ23" s="4">
        <v>20</v>
      </c>
      <c r="DK23" s="92">
        <v>15187</v>
      </c>
      <c r="DL23" s="92">
        <v>22938</v>
      </c>
      <c r="DM23" s="92">
        <v>6030</v>
      </c>
      <c r="DO23" s="4">
        <v>20</v>
      </c>
      <c r="DP23" s="92">
        <v>10794</v>
      </c>
      <c r="DQ23" s="92">
        <v>22189</v>
      </c>
      <c r="DR23" s="92">
        <v>5884</v>
      </c>
      <c r="DT23" s="4">
        <v>20</v>
      </c>
      <c r="DY23" s="4">
        <v>20</v>
      </c>
      <c r="ED23" s="4">
        <v>20</v>
      </c>
      <c r="EE23" s="92">
        <v>12051</v>
      </c>
      <c r="EF23" s="92">
        <v>15924</v>
      </c>
      <c r="EG23" s="92">
        <v>5211</v>
      </c>
      <c r="EI23" s="4">
        <v>20</v>
      </c>
      <c r="EN23" s="4">
        <v>20</v>
      </c>
      <c r="ES23" s="4">
        <v>20</v>
      </c>
      <c r="EY23" s="60"/>
      <c r="EZ23" s="87"/>
      <c r="FA23" s="60"/>
      <c r="FB23" s="60"/>
      <c r="FC23" s="86"/>
      <c r="FD23" s="60"/>
      <c r="FE23" s="87"/>
      <c r="FF23" s="60"/>
      <c r="FG23" s="60"/>
      <c r="FH23" s="86"/>
      <c r="FI23" s="60"/>
      <c r="FJ23" s="87"/>
      <c r="FK23" s="60"/>
      <c r="FL23" s="60"/>
      <c r="FM23" s="86"/>
      <c r="FN23" s="60"/>
      <c r="FO23" s="87"/>
      <c r="FP23" s="60"/>
      <c r="FQ23" s="60"/>
      <c r="FR23" s="86"/>
      <c r="FS23" s="60"/>
      <c r="FT23" s="87"/>
      <c r="FU23" s="60"/>
      <c r="FV23" s="60"/>
      <c r="FW23" s="86"/>
      <c r="FX23" s="60"/>
      <c r="FY23" s="87"/>
      <c r="FZ23" s="60"/>
      <c r="GA23" s="60"/>
      <c r="GB23" s="86"/>
      <c r="GC23" s="60"/>
      <c r="GD23" s="87"/>
      <c r="GE23" s="60"/>
      <c r="GF23" s="60"/>
      <c r="GG23" s="86"/>
      <c r="GH23" s="60"/>
      <c r="GI23" s="87"/>
      <c r="GJ23" s="60"/>
      <c r="GK23" s="60"/>
      <c r="GL23" s="86"/>
      <c r="GM23" s="60"/>
      <c r="GN23" s="87"/>
      <c r="GO23" s="60"/>
      <c r="GP23" s="60"/>
      <c r="GQ23" s="86"/>
      <c r="GR23" s="60"/>
      <c r="GS23" s="87"/>
      <c r="GT23" s="60"/>
      <c r="GU23" s="60"/>
      <c r="GV23" s="86"/>
      <c r="GW23" s="60"/>
      <c r="GX23" s="87"/>
      <c r="GY23" s="60"/>
      <c r="GZ23" s="60"/>
      <c r="HA23" s="86"/>
      <c r="HB23" s="60"/>
      <c r="HC23" s="87"/>
      <c r="HD23" s="60"/>
      <c r="HE23" s="60"/>
      <c r="HF23" s="86"/>
      <c r="HG23" s="60"/>
      <c r="HH23" s="87"/>
      <c r="HI23" s="60"/>
      <c r="HJ23" s="60"/>
      <c r="HK23" s="86"/>
      <c r="HL23" s="60"/>
      <c r="HM23" s="87"/>
      <c r="HN23" s="60"/>
      <c r="HO23" s="60"/>
      <c r="HP23" s="86"/>
      <c r="HQ23" s="60"/>
      <c r="HR23" s="87"/>
      <c r="HS23" s="60"/>
      <c r="HT23" s="60"/>
      <c r="HU23" s="86"/>
    </row>
    <row r="24" spans="1:229" x14ac:dyDescent="0.25">
      <c r="C24" s="2">
        <f>AVERAGE(C4:C23)</f>
        <v>5867.6</v>
      </c>
      <c r="D24" s="2">
        <f t="shared" ref="D24:BO24" si="0">AVERAGE(D4:D23)</f>
        <v>13128.4</v>
      </c>
      <c r="E24" s="2">
        <f t="shared" si="0"/>
        <v>4137.2</v>
      </c>
      <c r="F24" s="2" t="e">
        <f t="shared" si="0"/>
        <v>#DIV/0!</v>
      </c>
      <c r="G24" s="2">
        <f t="shared" si="0"/>
        <v>10.5</v>
      </c>
      <c r="H24" s="2">
        <f t="shared" si="0"/>
        <v>4984.6000000000004</v>
      </c>
      <c r="I24" s="2">
        <f t="shared" si="0"/>
        <v>11397.3</v>
      </c>
      <c r="J24" s="2">
        <f t="shared" si="0"/>
        <v>3679.05</v>
      </c>
      <c r="K24" s="2" t="e">
        <f t="shared" si="0"/>
        <v>#DIV/0!</v>
      </c>
      <c r="L24" s="2">
        <f t="shared" si="0"/>
        <v>10.5</v>
      </c>
      <c r="M24" s="2">
        <f t="shared" si="0"/>
        <v>6451.3</v>
      </c>
      <c r="N24" s="2">
        <f t="shared" si="0"/>
        <v>14334.75</v>
      </c>
      <c r="O24" s="2">
        <f t="shared" si="0"/>
        <v>4285.6000000000004</v>
      </c>
      <c r="P24" s="2" t="e">
        <f t="shared" si="0"/>
        <v>#DIV/0!</v>
      </c>
      <c r="Q24" s="2">
        <f t="shared" si="0"/>
        <v>10.5</v>
      </c>
      <c r="R24" s="2">
        <f t="shared" si="0"/>
        <v>6052.55</v>
      </c>
      <c r="S24" s="2">
        <f t="shared" si="0"/>
        <v>12886.8</v>
      </c>
      <c r="T24" s="2">
        <f t="shared" si="0"/>
        <v>4312.5</v>
      </c>
      <c r="U24" s="2" t="e">
        <f t="shared" si="0"/>
        <v>#DIV/0!</v>
      </c>
      <c r="V24" s="2">
        <f t="shared" si="0"/>
        <v>6.5</v>
      </c>
      <c r="W24" s="2">
        <f t="shared" si="0"/>
        <v>7269.333333333333</v>
      </c>
      <c r="X24" s="2">
        <f t="shared" si="0"/>
        <v>18054.333333333332</v>
      </c>
      <c r="Y24" s="2">
        <f t="shared" si="0"/>
        <v>4478.583333333333</v>
      </c>
      <c r="Z24" s="2" t="e">
        <f t="shared" si="0"/>
        <v>#DIV/0!</v>
      </c>
      <c r="AA24" s="2">
        <f t="shared" si="0"/>
        <v>10.55</v>
      </c>
      <c r="AB24" s="2">
        <f t="shared" si="0"/>
        <v>4316.95</v>
      </c>
      <c r="AC24" s="2">
        <f t="shared" si="0"/>
        <v>12597.05</v>
      </c>
      <c r="AD24" s="2">
        <f t="shared" si="0"/>
        <v>3581.7</v>
      </c>
      <c r="AE24" s="2" t="e">
        <f t="shared" si="0"/>
        <v>#DIV/0!</v>
      </c>
      <c r="AF24" s="2">
        <f t="shared" si="0"/>
        <v>10.55</v>
      </c>
      <c r="AG24" s="2">
        <f t="shared" si="0"/>
        <v>5489.75</v>
      </c>
      <c r="AH24" s="2">
        <f t="shared" si="0"/>
        <v>12785.5</v>
      </c>
      <c r="AI24" s="2">
        <f t="shared" si="0"/>
        <v>4036.15</v>
      </c>
      <c r="AJ24" s="2" t="e">
        <f t="shared" si="0"/>
        <v>#DIV/0!</v>
      </c>
      <c r="AK24" s="2">
        <f t="shared" si="0"/>
        <v>10.55</v>
      </c>
      <c r="AL24" s="2">
        <f t="shared" si="0"/>
        <v>7236.25</v>
      </c>
      <c r="AM24" s="2">
        <f t="shared" si="0"/>
        <v>16461.849999999999</v>
      </c>
      <c r="AN24" s="2">
        <f t="shared" si="0"/>
        <v>4687.45</v>
      </c>
      <c r="AO24" s="2" t="e">
        <f t="shared" si="0"/>
        <v>#DIV/0!</v>
      </c>
      <c r="AP24" s="2">
        <f t="shared" si="0"/>
        <v>10.55</v>
      </c>
      <c r="AQ24" s="2">
        <f t="shared" si="0"/>
        <v>6685.3</v>
      </c>
      <c r="AR24" s="2">
        <f t="shared" si="0"/>
        <v>14081.1</v>
      </c>
      <c r="AS24" s="2">
        <f t="shared" si="0"/>
        <v>4643.3500000000004</v>
      </c>
      <c r="AT24" s="2" t="e">
        <f t="shared" si="0"/>
        <v>#DIV/0!</v>
      </c>
      <c r="AU24" s="2">
        <f t="shared" si="0"/>
        <v>7</v>
      </c>
      <c r="AV24" s="2">
        <f t="shared" si="0"/>
        <v>6890.6923076923076</v>
      </c>
      <c r="AW24" s="2">
        <f t="shared" si="0"/>
        <v>17209.461538461539</v>
      </c>
      <c r="AX24" s="2">
        <f t="shared" si="0"/>
        <v>4690.2307692307695</v>
      </c>
      <c r="AY24" s="2" t="e">
        <f t="shared" si="0"/>
        <v>#DIV/0!</v>
      </c>
      <c r="AZ24" s="2">
        <f t="shared" si="0"/>
        <v>4</v>
      </c>
      <c r="BA24" s="2">
        <f t="shared" si="0"/>
        <v>4880</v>
      </c>
      <c r="BB24" s="2">
        <f t="shared" si="0"/>
        <v>10845.714285714286</v>
      </c>
      <c r="BC24" s="2">
        <f t="shared" si="0"/>
        <v>3277.5714285714284</v>
      </c>
      <c r="BD24" s="2" t="e">
        <f t="shared" si="0"/>
        <v>#DIV/0!</v>
      </c>
      <c r="BE24" s="2">
        <f t="shared" si="0"/>
        <v>10.5</v>
      </c>
      <c r="BF24" s="2">
        <f t="shared" si="0"/>
        <v>10541.85</v>
      </c>
      <c r="BG24" s="2">
        <f t="shared" si="0"/>
        <v>16858.849999999999</v>
      </c>
      <c r="BH24" s="2">
        <f t="shared" si="0"/>
        <v>5214.75</v>
      </c>
      <c r="BI24" s="2" t="e">
        <f t="shared" si="0"/>
        <v>#DIV/0!</v>
      </c>
      <c r="BJ24" s="2">
        <f t="shared" si="0"/>
        <v>4.5</v>
      </c>
      <c r="BK24" s="2">
        <f t="shared" si="0"/>
        <v>8224.5</v>
      </c>
      <c r="BL24" s="2">
        <f t="shared" si="0"/>
        <v>14028.375</v>
      </c>
      <c r="BM24" s="2">
        <f t="shared" si="0"/>
        <v>4461.375</v>
      </c>
      <c r="BN24" s="2" t="e">
        <f t="shared" si="0"/>
        <v>#DIV/0!</v>
      </c>
      <c r="BO24" s="2">
        <f t="shared" si="0"/>
        <v>4</v>
      </c>
      <c r="BP24" s="2">
        <f t="shared" ref="BP24:EA24" si="1">AVERAGE(BP4:BP23)</f>
        <v>5556</v>
      </c>
      <c r="BQ24" s="2">
        <f t="shared" si="1"/>
        <v>11185.142857142857</v>
      </c>
      <c r="BR24" s="2">
        <f t="shared" si="1"/>
        <v>3528.8571428571427</v>
      </c>
      <c r="BS24" s="2" t="e">
        <f t="shared" si="1"/>
        <v>#DIV/0!</v>
      </c>
      <c r="BT24" s="2">
        <f t="shared" si="1"/>
        <v>6.5</v>
      </c>
      <c r="BU24" s="2">
        <f t="shared" si="1"/>
        <v>6152.333333333333</v>
      </c>
      <c r="BV24" s="2">
        <f t="shared" si="1"/>
        <v>13711.25</v>
      </c>
      <c r="BW24" s="2">
        <f t="shared" si="1"/>
        <v>4644.583333333333</v>
      </c>
      <c r="BX24" s="2" t="e">
        <f t="shared" si="1"/>
        <v>#DIV/0!</v>
      </c>
      <c r="BY24" s="2" t="e">
        <f t="shared" si="1"/>
        <v>#DIV/0!</v>
      </c>
      <c r="BZ24" s="2" t="e">
        <f t="shared" si="1"/>
        <v>#DIV/0!</v>
      </c>
      <c r="CA24" s="2">
        <f t="shared" si="1"/>
        <v>10.5</v>
      </c>
      <c r="CB24" s="2">
        <f t="shared" si="1"/>
        <v>10380.944444444445</v>
      </c>
      <c r="CC24" s="2">
        <f t="shared" si="1"/>
        <v>17435</v>
      </c>
      <c r="CD24" s="2">
        <f t="shared" si="1"/>
        <v>4957.2777777777774</v>
      </c>
      <c r="CE24" s="2" t="e">
        <f t="shared" si="1"/>
        <v>#DIV/0!</v>
      </c>
      <c r="CF24" s="2">
        <f t="shared" si="1"/>
        <v>10.5</v>
      </c>
      <c r="CG24" s="2">
        <f t="shared" si="1"/>
        <v>11190.105263157895</v>
      </c>
      <c r="CH24" s="2">
        <f t="shared" si="1"/>
        <v>18685.315789473683</v>
      </c>
      <c r="CI24" s="2">
        <f t="shared" si="1"/>
        <v>5151.3684210526317</v>
      </c>
      <c r="CJ24" s="2" t="e">
        <f t="shared" si="1"/>
        <v>#DIV/0!</v>
      </c>
      <c r="CK24" s="2">
        <f t="shared" si="1"/>
        <v>10.5</v>
      </c>
      <c r="CL24" s="2">
        <f t="shared" si="1"/>
        <v>19189</v>
      </c>
      <c r="CM24" s="2">
        <f t="shared" si="1"/>
        <v>25003.85</v>
      </c>
      <c r="CN24" s="2">
        <f t="shared" si="1"/>
        <v>6880.4</v>
      </c>
      <c r="CO24" s="2" t="e">
        <f t="shared" si="1"/>
        <v>#DIV/0!</v>
      </c>
      <c r="CP24" s="2">
        <f t="shared" si="1"/>
        <v>10.5</v>
      </c>
      <c r="CQ24" s="2">
        <f t="shared" si="1"/>
        <v>12563.3</v>
      </c>
      <c r="CR24" s="2">
        <f t="shared" si="1"/>
        <v>20555.400000000001</v>
      </c>
      <c r="CS24" s="2">
        <f t="shared" si="1"/>
        <v>5738.25</v>
      </c>
      <c r="CT24" s="2" t="e">
        <f t="shared" si="1"/>
        <v>#DIV/0!</v>
      </c>
      <c r="CU24" s="2">
        <f t="shared" si="1"/>
        <v>10.5</v>
      </c>
      <c r="CV24" s="2">
        <f t="shared" si="1"/>
        <v>12039.5</v>
      </c>
      <c r="CW24" s="2">
        <f t="shared" si="1"/>
        <v>20852.083333333332</v>
      </c>
      <c r="CX24" s="2">
        <f t="shared" si="1"/>
        <v>5553.416666666667</v>
      </c>
      <c r="CY24" s="2" t="e">
        <f t="shared" si="1"/>
        <v>#DIV/0!</v>
      </c>
      <c r="CZ24" s="2">
        <f t="shared" si="1"/>
        <v>10.5</v>
      </c>
      <c r="DA24" s="2">
        <f t="shared" si="1"/>
        <v>11195.1</v>
      </c>
      <c r="DB24" s="2">
        <f t="shared" si="1"/>
        <v>18954.5</v>
      </c>
      <c r="DC24" s="2">
        <f t="shared" si="1"/>
        <v>5076.6000000000004</v>
      </c>
      <c r="DD24" s="2" t="e">
        <f t="shared" si="1"/>
        <v>#DIV/0!</v>
      </c>
      <c r="DE24" s="2">
        <f t="shared" si="1"/>
        <v>10.5</v>
      </c>
      <c r="DF24" s="2">
        <f t="shared" si="1"/>
        <v>12006.85</v>
      </c>
      <c r="DG24" s="2">
        <f t="shared" si="1"/>
        <v>19299</v>
      </c>
      <c r="DH24" s="2">
        <f t="shared" si="1"/>
        <v>5463.45</v>
      </c>
      <c r="DI24" s="2" t="e">
        <f t="shared" si="1"/>
        <v>#DIV/0!</v>
      </c>
      <c r="DJ24" s="2">
        <f t="shared" si="1"/>
        <v>10.5</v>
      </c>
      <c r="DK24" s="2">
        <f t="shared" si="1"/>
        <v>16938.5</v>
      </c>
      <c r="DL24" s="2">
        <f t="shared" si="1"/>
        <v>26353.75</v>
      </c>
      <c r="DM24" s="2">
        <f t="shared" si="1"/>
        <v>6363.5</v>
      </c>
      <c r="DN24" s="2" t="e">
        <f t="shared" si="1"/>
        <v>#DIV/0!</v>
      </c>
      <c r="DO24" s="2">
        <f t="shared" si="1"/>
        <v>10.5</v>
      </c>
      <c r="DP24" s="2">
        <f t="shared" si="1"/>
        <v>16589.849999999999</v>
      </c>
      <c r="DQ24" s="2">
        <f t="shared" si="1"/>
        <v>26020.2</v>
      </c>
      <c r="DR24" s="2">
        <f t="shared" si="1"/>
        <v>6580.15</v>
      </c>
      <c r="DS24" s="2" t="e">
        <f t="shared" si="1"/>
        <v>#DIV/0!</v>
      </c>
      <c r="DT24" s="2">
        <f t="shared" si="1"/>
        <v>10.5</v>
      </c>
      <c r="DU24" s="2">
        <f t="shared" si="1"/>
        <v>15355.916666666666</v>
      </c>
      <c r="DV24" s="2">
        <f t="shared" si="1"/>
        <v>23056.25</v>
      </c>
      <c r="DW24" s="2">
        <f t="shared" si="1"/>
        <v>6261.833333333333</v>
      </c>
      <c r="DX24" s="2" t="e">
        <f t="shared" si="1"/>
        <v>#DIV/0!</v>
      </c>
      <c r="DY24" s="2">
        <f t="shared" si="1"/>
        <v>10.5</v>
      </c>
      <c r="DZ24" s="2">
        <f t="shared" si="1"/>
        <v>7680.7142857142853</v>
      </c>
      <c r="EA24" s="2">
        <f t="shared" si="1"/>
        <v>13133.142857142857</v>
      </c>
      <c r="EB24" s="2">
        <f t="shared" ref="EB24:GM24" si="2">AVERAGE(EB4:EB23)</f>
        <v>3812.1428571428573</v>
      </c>
      <c r="EC24" s="2" t="e">
        <f t="shared" si="2"/>
        <v>#DIV/0!</v>
      </c>
      <c r="ED24" s="2">
        <f t="shared" si="2"/>
        <v>10.5</v>
      </c>
      <c r="EE24" s="2">
        <f t="shared" si="2"/>
        <v>23680.75</v>
      </c>
      <c r="EF24" s="2">
        <f t="shared" si="2"/>
        <v>24498.9</v>
      </c>
      <c r="EG24" s="2">
        <f t="shared" si="2"/>
        <v>6898.15</v>
      </c>
      <c r="EH24" s="2" t="e">
        <f t="shared" si="2"/>
        <v>#DIV/0!</v>
      </c>
      <c r="EI24" s="2">
        <f t="shared" si="2"/>
        <v>10.5</v>
      </c>
      <c r="EJ24" s="2">
        <f t="shared" si="2"/>
        <v>18527.125</v>
      </c>
      <c r="EK24" s="2">
        <f t="shared" si="2"/>
        <v>21668.875</v>
      </c>
      <c r="EL24" s="2">
        <f t="shared" si="2"/>
        <v>5977.75</v>
      </c>
      <c r="EM24" s="2" t="e">
        <f t="shared" si="2"/>
        <v>#DIV/0!</v>
      </c>
      <c r="EN24" s="2">
        <f t="shared" si="2"/>
        <v>10.5</v>
      </c>
      <c r="EO24" s="2">
        <f t="shared" si="2"/>
        <v>12934.166666666666</v>
      </c>
      <c r="EP24" s="2">
        <f t="shared" si="2"/>
        <v>17569.5</v>
      </c>
      <c r="EQ24" s="2">
        <f t="shared" si="2"/>
        <v>5086</v>
      </c>
      <c r="ER24" s="2" t="e">
        <f t="shared" si="2"/>
        <v>#DIV/0!</v>
      </c>
      <c r="ES24" s="2">
        <f t="shared" si="2"/>
        <v>10.5</v>
      </c>
      <c r="ET24" s="2">
        <f t="shared" si="2"/>
        <v>13356.166666666666</v>
      </c>
      <c r="EU24" s="2">
        <f t="shared" si="2"/>
        <v>21654.833333333332</v>
      </c>
      <c r="EV24" s="2">
        <f t="shared" si="2"/>
        <v>6249.666666666667</v>
      </c>
      <c r="EW24" s="2" t="e">
        <f t="shared" si="2"/>
        <v>#DIV/0!</v>
      </c>
      <c r="EX24" s="2" t="e">
        <f t="shared" si="2"/>
        <v>#DIV/0!</v>
      </c>
      <c r="EY24" s="2" t="e">
        <f t="shared" si="2"/>
        <v>#DIV/0!</v>
      </c>
      <c r="EZ24" s="2">
        <f t="shared" si="2"/>
        <v>11</v>
      </c>
      <c r="FA24" s="2">
        <f t="shared" si="2"/>
        <v>15838.166666666666</v>
      </c>
      <c r="FB24" s="2">
        <f t="shared" si="2"/>
        <v>27619.5</v>
      </c>
      <c r="FC24" s="2">
        <f t="shared" si="2"/>
        <v>6011.25</v>
      </c>
      <c r="FD24" s="2" t="e">
        <f t="shared" si="2"/>
        <v>#DIV/0!</v>
      </c>
      <c r="FE24" s="2">
        <f t="shared" si="2"/>
        <v>11</v>
      </c>
      <c r="FF24" s="2">
        <f t="shared" si="2"/>
        <v>19801.157894736843</v>
      </c>
      <c r="FG24" s="2">
        <f t="shared" si="2"/>
        <v>28661.894736842107</v>
      </c>
      <c r="FH24" s="2">
        <f t="shared" si="2"/>
        <v>6498.105263157895</v>
      </c>
      <c r="FI24" s="2" t="e">
        <f t="shared" si="2"/>
        <v>#DIV/0!</v>
      </c>
      <c r="FJ24" s="2">
        <f t="shared" si="2"/>
        <v>11</v>
      </c>
      <c r="FK24" s="2">
        <f t="shared" si="2"/>
        <v>38787.117647058825</v>
      </c>
      <c r="FL24" s="2">
        <f t="shared" si="2"/>
        <v>42271.705882352944</v>
      </c>
      <c r="FM24" s="2">
        <f t="shared" si="2"/>
        <v>8864.6470588235297</v>
      </c>
      <c r="FN24" s="2" t="e">
        <f t="shared" si="2"/>
        <v>#DIV/0!</v>
      </c>
      <c r="FO24" s="2">
        <f t="shared" si="2"/>
        <v>11</v>
      </c>
      <c r="FP24" s="2">
        <f t="shared" si="2"/>
        <v>25465.42105263158</v>
      </c>
      <c r="FQ24" s="2">
        <f t="shared" si="2"/>
        <v>31128.736842105263</v>
      </c>
      <c r="FR24" s="2">
        <f t="shared" si="2"/>
        <v>7315.4210526315792</v>
      </c>
      <c r="FS24" s="2" t="e">
        <f t="shared" si="2"/>
        <v>#DIV/0!</v>
      </c>
      <c r="FT24" s="2">
        <f t="shared" si="2"/>
        <v>11</v>
      </c>
      <c r="FU24" s="2">
        <f t="shared" si="2"/>
        <v>15610.285714285714</v>
      </c>
      <c r="FV24" s="2">
        <f t="shared" si="2"/>
        <v>27269.571428571428</v>
      </c>
      <c r="FW24" s="2">
        <f t="shared" si="2"/>
        <v>5956.4285714285716</v>
      </c>
      <c r="FX24" s="2" t="e">
        <f t="shared" si="2"/>
        <v>#DIV/0!</v>
      </c>
      <c r="FY24" s="2">
        <f t="shared" si="2"/>
        <v>11</v>
      </c>
      <c r="FZ24" s="2">
        <f t="shared" si="2"/>
        <v>16661.285714285714</v>
      </c>
      <c r="GA24" s="2">
        <f t="shared" si="2"/>
        <v>25125</v>
      </c>
      <c r="GB24" s="2">
        <f t="shared" si="2"/>
        <v>5897.7857142857147</v>
      </c>
      <c r="GC24" s="2" t="e">
        <f t="shared" si="2"/>
        <v>#DIV/0!</v>
      </c>
      <c r="GD24" s="2">
        <f t="shared" si="2"/>
        <v>11</v>
      </c>
      <c r="GE24" s="2">
        <f t="shared" si="2"/>
        <v>22293.882352941175</v>
      </c>
      <c r="GF24" s="2">
        <f t="shared" si="2"/>
        <v>26947.117647058825</v>
      </c>
      <c r="GG24" s="2">
        <f t="shared" si="2"/>
        <v>6498.9411764705883</v>
      </c>
      <c r="GH24" s="2" t="e">
        <f t="shared" si="2"/>
        <v>#DIV/0!</v>
      </c>
      <c r="GI24" s="2">
        <f t="shared" si="2"/>
        <v>11</v>
      </c>
      <c r="GJ24" s="2">
        <f t="shared" si="2"/>
        <v>39948.058823529413</v>
      </c>
      <c r="GK24" s="2">
        <f t="shared" si="2"/>
        <v>44398.117647058825</v>
      </c>
      <c r="GL24" s="2">
        <f t="shared" si="2"/>
        <v>8692.2352941176468</v>
      </c>
      <c r="GM24" s="2" t="e">
        <f t="shared" si="2"/>
        <v>#DIV/0!</v>
      </c>
      <c r="GN24" s="2">
        <f t="shared" ref="GN24:HU24" si="3">AVERAGE(GN4:GN23)</f>
        <v>11</v>
      </c>
      <c r="GO24" s="2">
        <f t="shared" si="3"/>
        <v>40493.176470588238</v>
      </c>
      <c r="GP24" s="2">
        <f t="shared" si="3"/>
        <v>49573.76470588235</v>
      </c>
      <c r="GQ24" s="2">
        <f t="shared" si="3"/>
        <v>9103.6470588235297</v>
      </c>
      <c r="GR24" s="2" t="e">
        <f t="shared" si="3"/>
        <v>#DIV/0!</v>
      </c>
      <c r="GS24" s="2">
        <f t="shared" si="3"/>
        <v>11</v>
      </c>
      <c r="GT24" s="2">
        <f t="shared" si="3"/>
        <v>22216.833333333332</v>
      </c>
      <c r="GU24" s="2">
        <f t="shared" si="3"/>
        <v>26216.166666666668</v>
      </c>
      <c r="GV24" s="2">
        <f t="shared" si="3"/>
        <v>7195.833333333333</v>
      </c>
      <c r="GW24" s="2" t="e">
        <f t="shared" si="3"/>
        <v>#DIV/0!</v>
      </c>
      <c r="GX24" s="2">
        <f t="shared" si="3"/>
        <v>11</v>
      </c>
      <c r="GY24" s="2">
        <f t="shared" si="3"/>
        <v>9349.7999999999993</v>
      </c>
      <c r="GZ24" s="2">
        <f t="shared" si="3"/>
        <v>14742.4</v>
      </c>
      <c r="HA24" s="2">
        <f t="shared" si="3"/>
        <v>4380.3999999999996</v>
      </c>
      <c r="HB24" s="2" t="e">
        <f t="shared" si="3"/>
        <v>#DIV/0!</v>
      </c>
      <c r="HC24" s="2">
        <f t="shared" si="3"/>
        <v>11</v>
      </c>
      <c r="HD24" s="2">
        <f t="shared" si="3"/>
        <v>48646.294117647056</v>
      </c>
      <c r="HE24" s="2">
        <f t="shared" si="3"/>
        <v>42797.76470588235</v>
      </c>
      <c r="HF24" s="2">
        <f t="shared" si="3"/>
        <v>9412.7647058823532</v>
      </c>
      <c r="HG24" s="2" t="e">
        <f t="shared" si="3"/>
        <v>#DIV/0!</v>
      </c>
      <c r="HH24" s="2">
        <f t="shared" si="3"/>
        <v>11</v>
      </c>
      <c r="HI24" s="2">
        <f t="shared" si="3"/>
        <v>40582.714285714283</v>
      </c>
      <c r="HJ24" s="2">
        <f t="shared" si="3"/>
        <v>34968.428571428572</v>
      </c>
      <c r="HK24" s="2">
        <f t="shared" si="3"/>
        <v>8588.2857142857138</v>
      </c>
      <c r="HL24" s="2" t="e">
        <f t="shared" si="3"/>
        <v>#DIV/0!</v>
      </c>
      <c r="HM24" s="2">
        <f t="shared" si="3"/>
        <v>11</v>
      </c>
      <c r="HN24" s="2">
        <f t="shared" si="3"/>
        <v>37761</v>
      </c>
      <c r="HO24" s="2">
        <f t="shared" si="3"/>
        <v>37225</v>
      </c>
      <c r="HP24" s="2">
        <f t="shared" si="3"/>
        <v>8856</v>
      </c>
      <c r="HQ24" s="2" t="e">
        <f t="shared" si="3"/>
        <v>#DIV/0!</v>
      </c>
      <c r="HR24" s="2">
        <f t="shared" si="3"/>
        <v>11</v>
      </c>
      <c r="HS24" s="2">
        <f t="shared" si="3"/>
        <v>24502.9</v>
      </c>
      <c r="HT24" s="2">
        <f t="shared" si="3"/>
        <v>34378.6</v>
      </c>
      <c r="HU24" s="2">
        <f t="shared" si="3"/>
        <v>7711.2</v>
      </c>
    </row>
    <row r="25" spans="1:229" ht="16.5" thickBot="1" x14ac:dyDescent="0.3"/>
    <row r="26" spans="1:229" ht="23.25" x14ac:dyDescent="0.35">
      <c r="A26" s="23"/>
      <c r="B26" s="5" t="s">
        <v>0</v>
      </c>
      <c r="C26" s="6"/>
      <c r="D26" s="6"/>
      <c r="E26" s="7"/>
      <c r="G26" s="8" t="s">
        <v>5</v>
      </c>
      <c r="H26" s="9"/>
      <c r="I26" s="9"/>
      <c r="J26" s="10"/>
      <c r="L26" s="8" t="s">
        <v>6</v>
      </c>
      <c r="M26" s="9"/>
      <c r="N26" s="9"/>
      <c r="O26" s="10"/>
      <c r="Q26" s="11" t="s">
        <v>7</v>
      </c>
      <c r="R26" s="11"/>
      <c r="S26" s="11"/>
      <c r="T26" s="11"/>
      <c r="V26" s="8" t="s">
        <v>8</v>
      </c>
      <c r="W26" s="9"/>
      <c r="X26" s="9"/>
      <c r="Y26" s="10"/>
      <c r="AA26" s="8" t="s">
        <v>9</v>
      </c>
      <c r="AB26" s="9"/>
      <c r="AC26" s="9"/>
      <c r="AD26" s="10"/>
      <c r="AF26" s="8" t="s">
        <v>10</v>
      </c>
      <c r="AG26" s="9"/>
      <c r="AH26" s="9"/>
      <c r="AI26" s="10"/>
      <c r="AK26" s="8" t="s">
        <v>11</v>
      </c>
      <c r="AL26" s="9"/>
      <c r="AM26" s="9"/>
      <c r="AN26" s="10"/>
      <c r="AP26" s="40" t="s">
        <v>12</v>
      </c>
      <c r="AQ26" s="41"/>
      <c r="AR26" s="41"/>
      <c r="AS26" s="42"/>
      <c r="AU26" s="8" t="s">
        <v>13</v>
      </c>
      <c r="AV26" s="9"/>
      <c r="AW26" s="9"/>
      <c r="AX26" s="10"/>
      <c r="AZ26" s="12" t="s">
        <v>20</v>
      </c>
      <c r="BA26" s="13"/>
      <c r="BB26" s="13"/>
      <c r="BC26" s="14"/>
      <c r="BE26" s="8" t="s">
        <v>14</v>
      </c>
      <c r="BF26" s="9"/>
      <c r="BG26" s="9"/>
      <c r="BH26" s="10"/>
      <c r="BJ26" s="8" t="s">
        <v>15</v>
      </c>
      <c r="BK26" s="9"/>
      <c r="BL26" s="9"/>
      <c r="BM26" s="10"/>
      <c r="BO26" s="11" t="s">
        <v>16</v>
      </c>
      <c r="BP26" s="11"/>
      <c r="BQ26" s="11"/>
      <c r="BR26" s="11"/>
      <c r="BT26" s="8" t="s">
        <v>17</v>
      </c>
      <c r="BU26" s="9"/>
      <c r="BV26" s="9"/>
      <c r="BW26" s="10"/>
      <c r="BZ26" s="23"/>
      <c r="CA26" s="5" t="s">
        <v>0</v>
      </c>
      <c r="CB26" s="6"/>
      <c r="CC26" s="6"/>
      <c r="CD26" s="7"/>
      <c r="CF26" s="8" t="s">
        <v>5</v>
      </c>
      <c r="CG26" s="9"/>
      <c r="CH26" s="9"/>
      <c r="CI26" s="10"/>
      <c r="CK26" s="8" t="s">
        <v>6</v>
      </c>
      <c r="CL26" s="9"/>
      <c r="CM26" s="9"/>
      <c r="CN26" s="10"/>
      <c r="CP26" s="11" t="s">
        <v>7</v>
      </c>
      <c r="CQ26" s="11"/>
      <c r="CR26" s="11"/>
      <c r="CS26" s="11"/>
      <c r="CU26" s="8" t="s">
        <v>8</v>
      </c>
      <c r="CV26" s="9"/>
      <c r="CW26" s="9"/>
      <c r="CX26" s="10"/>
      <c r="CZ26" s="8" t="s">
        <v>9</v>
      </c>
      <c r="DA26" s="9"/>
      <c r="DB26" s="9"/>
      <c r="DC26" s="10"/>
      <c r="DE26" s="8" t="s">
        <v>10</v>
      </c>
      <c r="DF26" s="9"/>
      <c r="DG26" s="9"/>
      <c r="DH26" s="10"/>
      <c r="DJ26" s="8" t="s">
        <v>11</v>
      </c>
      <c r="DK26" s="9"/>
      <c r="DL26" s="9"/>
      <c r="DM26" s="10"/>
      <c r="DO26" s="40" t="s">
        <v>12</v>
      </c>
      <c r="DP26" s="41"/>
      <c r="DQ26" s="41"/>
      <c r="DR26" s="42"/>
      <c r="DT26" s="8" t="s">
        <v>13</v>
      </c>
      <c r="DU26" s="9"/>
      <c r="DV26" s="9"/>
      <c r="DW26" s="10"/>
      <c r="DY26" s="12" t="s">
        <v>20</v>
      </c>
      <c r="DZ26" s="13"/>
      <c r="EA26" s="13"/>
      <c r="EB26" s="14"/>
      <c r="ED26" s="8" t="s">
        <v>14</v>
      </c>
      <c r="EE26" s="9"/>
      <c r="EF26" s="9"/>
      <c r="EG26" s="10"/>
      <c r="EI26" s="8" t="s">
        <v>15</v>
      </c>
      <c r="EJ26" s="9"/>
      <c r="EK26" s="9"/>
      <c r="EL26" s="10"/>
      <c r="EN26" s="11" t="s">
        <v>16</v>
      </c>
      <c r="EO26" s="11"/>
      <c r="EP26" s="11"/>
      <c r="EQ26" s="11"/>
      <c r="ES26" s="8" t="s">
        <v>17</v>
      </c>
      <c r="ET26" s="9"/>
      <c r="EU26" s="9"/>
      <c r="EV26" s="10"/>
      <c r="EY26" s="23"/>
      <c r="EZ26" s="24" t="s">
        <v>0</v>
      </c>
      <c r="FA26" s="25"/>
      <c r="FB26" s="25"/>
      <c r="FC26" s="26"/>
      <c r="FD26" s="44"/>
      <c r="FE26" s="27" t="s">
        <v>5</v>
      </c>
      <c r="FF26" s="28"/>
      <c r="FG26" s="28"/>
      <c r="FH26" s="29"/>
      <c r="FI26" s="46"/>
      <c r="FJ26" s="27" t="s">
        <v>6</v>
      </c>
      <c r="FK26" s="28"/>
      <c r="FL26" s="28"/>
      <c r="FM26" s="29"/>
      <c r="FN26" s="47"/>
      <c r="FO26" s="30" t="s">
        <v>7</v>
      </c>
      <c r="FP26" s="31"/>
      <c r="FQ26" s="31"/>
      <c r="FR26" s="32"/>
      <c r="FS26" s="47"/>
      <c r="FT26" s="27" t="s">
        <v>8</v>
      </c>
      <c r="FU26" s="28"/>
      <c r="FV26" s="28"/>
      <c r="FW26" s="29"/>
      <c r="FX26" s="46"/>
      <c r="FY26" s="27" t="s">
        <v>9</v>
      </c>
      <c r="FZ26" s="28"/>
      <c r="GA26" s="28"/>
      <c r="GB26" s="29"/>
      <c r="GC26" s="46"/>
      <c r="GD26" s="27" t="s">
        <v>10</v>
      </c>
      <c r="GE26" s="28"/>
      <c r="GF26" s="28"/>
      <c r="GG26" s="29"/>
      <c r="GH26" s="46"/>
      <c r="GI26" s="27" t="s">
        <v>11</v>
      </c>
      <c r="GJ26" s="28"/>
      <c r="GK26" s="28"/>
      <c r="GL26" s="29"/>
      <c r="GM26" s="46"/>
      <c r="GN26" s="33" t="s">
        <v>12</v>
      </c>
      <c r="GO26" s="34"/>
      <c r="GP26" s="34"/>
      <c r="GQ26" s="35"/>
      <c r="GR26" s="48"/>
      <c r="GS26" s="27" t="s">
        <v>13</v>
      </c>
      <c r="GT26" s="28"/>
      <c r="GU26" s="28"/>
      <c r="GV26" s="29"/>
      <c r="GW26" s="46"/>
      <c r="GX26" s="36" t="s">
        <v>20</v>
      </c>
      <c r="GY26" s="37"/>
      <c r="GZ26" s="37"/>
      <c r="HA26" s="38"/>
      <c r="HB26" s="49"/>
      <c r="HC26" s="27" t="s">
        <v>14</v>
      </c>
      <c r="HD26" s="28"/>
      <c r="HE26" s="28"/>
      <c r="HF26" s="29"/>
      <c r="HG26" s="46"/>
      <c r="HH26" s="27" t="s">
        <v>15</v>
      </c>
      <c r="HI26" s="28"/>
      <c r="HJ26" s="28"/>
      <c r="HK26" s="29"/>
      <c r="HL26" s="47"/>
      <c r="HM26" s="30" t="s">
        <v>16</v>
      </c>
      <c r="HN26" s="31"/>
      <c r="HO26" s="31"/>
      <c r="HP26" s="32"/>
      <c r="HQ26" s="47"/>
      <c r="HR26" s="27" t="s">
        <v>17</v>
      </c>
      <c r="HS26" s="28"/>
      <c r="HT26" s="28"/>
      <c r="HU26" s="29"/>
    </row>
    <row r="27" spans="1:229" x14ac:dyDescent="0.25">
      <c r="A27" t="s">
        <v>23</v>
      </c>
      <c r="B27" s="1" t="s">
        <v>1</v>
      </c>
      <c r="C27" s="1" t="s">
        <v>2</v>
      </c>
      <c r="D27" s="1" t="s">
        <v>3</v>
      </c>
      <c r="E27" s="1" t="s">
        <v>4</v>
      </c>
      <c r="G27" s="1" t="s">
        <v>1</v>
      </c>
      <c r="H27" s="1" t="s">
        <v>2</v>
      </c>
      <c r="I27" s="1" t="s">
        <v>3</v>
      </c>
      <c r="J27" s="1" t="s">
        <v>4</v>
      </c>
      <c r="L27" s="1" t="s">
        <v>1</v>
      </c>
      <c r="M27" s="1" t="s">
        <v>2</v>
      </c>
      <c r="N27" s="1" t="s">
        <v>3</v>
      </c>
      <c r="O27" s="1" t="s">
        <v>4</v>
      </c>
      <c r="Q27" s="1" t="s">
        <v>1</v>
      </c>
      <c r="R27" s="1" t="s">
        <v>2</v>
      </c>
      <c r="S27" s="1" t="s">
        <v>3</v>
      </c>
      <c r="T27" s="1" t="s">
        <v>4</v>
      </c>
      <c r="V27" s="1" t="s">
        <v>1</v>
      </c>
      <c r="W27" s="1" t="s">
        <v>2</v>
      </c>
      <c r="X27" s="1" t="s">
        <v>3</v>
      </c>
      <c r="Y27" s="1" t="s">
        <v>4</v>
      </c>
      <c r="AA27" s="1" t="s">
        <v>1</v>
      </c>
      <c r="AB27" s="1" t="s">
        <v>2</v>
      </c>
      <c r="AC27" s="1" t="s">
        <v>3</v>
      </c>
      <c r="AD27" s="1" t="s">
        <v>4</v>
      </c>
      <c r="AF27" s="1" t="s">
        <v>1</v>
      </c>
      <c r="AG27" s="1" t="s">
        <v>2</v>
      </c>
      <c r="AH27" s="1" t="s">
        <v>3</v>
      </c>
      <c r="AI27" s="1" t="s">
        <v>4</v>
      </c>
      <c r="AK27" s="1" t="s">
        <v>1</v>
      </c>
      <c r="AL27" s="1" t="s">
        <v>2</v>
      </c>
      <c r="AM27" s="1" t="s">
        <v>3</v>
      </c>
      <c r="AN27" s="1" t="s">
        <v>4</v>
      </c>
      <c r="AP27" s="1" t="s">
        <v>1</v>
      </c>
      <c r="AQ27" s="1" t="s">
        <v>2</v>
      </c>
      <c r="AR27" s="1" t="s">
        <v>3</v>
      </c>
      <c r="AS27" s="1" t="s">
        <v>4</v>
      </c>
      <c r="AU27" s="1" t="s">
        <v>1</v>
      </c>
      <c r="AV27" s="1" t="s">
        <v>2</v>
      </c>
      <c r="AW27" s="1" t="s">
        <v>3</v>
      </c>
      <c r="AX27" s="1" t="s">
        <v>4</v>
      </c>
      <c r="AZ27" s="1" t="s">
        <v>1</v>
      </c>
      <c r="BA27" s="1" t="s">
        <v>2</v>
      </c>
      <c r="BB27" s="1" t="s">
        <v>3</v>
      </c>
      <c r="BC27" s="1" t="s">
        <v>4</v>
      </c>
      <c r="BE27" s="1" t="s">
        <v>1</v>
      </c>
      <c r="BF27" s="1" t="s">
        <v>2</v>
      </c>
      <c r="BG27" s="1" t="s">
        <v>3</v>
      </c>
      <c r="BH27" s="1" t="s">
        <v>4</v>
      </c>
      <c r="BJ27" s="1" t="s">
        <v>1</v>
      </c>
      <c r="BK27" s="1" t="s">
        <v>2</v>
      </c>
      <c r="BL27" s="1" t="s">
        <v>3</v>
      </c>
      <c r="BM27" s="1" t="s">
        <v>4</v>
      </c>
      <c r="BO27" s="1" t="s">
        <v>1</v>
      </c>
      <c r="BP27" s="1" t="s">
        <v>2</v>
      </c>
      <c r="BQ27" s="1" t="s">
        <v>3</v>
      </c>
      <c r="BR27" s="1" t="s">
        <v>4</v>
      </c>
      <c r="BT27" s="1" t="s">
        <v>1</v>
      </c>
      <c r="BU27" s="1" t="s">
        <v>2</v>
      </c>
      <c r="BV27" s="1" t="s">
        <v>3</v>
      </c>
      <c r="BW27" s="1" t="s">
        <v>4</v>
      </c>
      <c r="BZ27" t="s">
        <v>22</v>
      </c>
      <c r="CA27" s="4">
        <v>1</v>
      </c>
      <c r="CB27" s="92">
        <v>4090</v>
      </c>
      <c r="CC27" s="92">
        <v>9424</v>
      </c>
      <c r="CD27" s="92">
        <v>2619</v>
      </c>
      <c r="CF27" s="4">
        <v>1</v>
      </c>
      <c r="CG27" s="97"/>
      <c r="CH27" s="97"/>
      <c r="CI27" s="97"/>
      <c r="CK27" s="4">
        <v>1</v>
      </c>
      <c r="CL27" s="92">
        <v>14198</v>
      </c>
      <c r="CM27" s="92">
        <v>20974</v>
      </c>
      <c r="CN27" s="92">
        <v>4782</v>
      </c>
      <c r="CP27" s="4">
        <v>1</v>
      </c>
      <c r="CQ27" s="92">
        <v>13100</v>
      </c>
      <c r="CR27" s="92">
        <v>17749</v>
      </c>
      <c r="CS27" s="92">
        <v>4717</v>
      </c>
      <c r="CU27" s="4">
        <v>1</v>
      </c>
      <c r="CV27" s="92">
        <v>15382</v>
      </c>
      <c r="CW27" s="92">
        <v>24122</v>
      </c>
      <c r="CX27" s="92">
        <v>6349</v>
      </c>
      <c r="CZ27" s="4">
        <v>1</v>
      </c>
      <c r="DA27" s="2">
        <v>16168</v>
      </c>
      <c r="DB27" s="2">
        <v>22742</v>
      </c>
      <c r="DC27" s="2">
        <v>5610</v>
      </c>
      <c r="DE27" s="4">
        <v>1</v>
      </c>
      <c r="DF27" s="92">
        <v>15428</v>
      </c>
      <c r="DG27" s="92">
        <v>18662</v>
      </c>
      <c r="DH27" s="92">
        <v>5060</v>
      </c>
      <c r="DJ27" s="4">
        <v>1</v>
      </c>
      <c r="DK27" s="92">
        <v>15284</v>
      </c>
      <c r="DL27" s="92">
        <v>20391</v>
      </c>
      <c r="DM27" s="92">
        <v>5793</v>
      </c>
      <c r="DO27" s="4">
        <v>1</v>
      </c>
      <c r="DP27" s="96">
        <v>3600</v>
      </c>
      <c r="DQ27" s="96">
        <v>7041</v>
      </c>
      <c r="DR27" s="96">
        <v>2310</v>
      </c>
      <c r="DT27" s="4">
        <v>1</v>
      </c>
      <c r="DU27" s="92">
        <v>20774</v>
      </c>
      <c r="DV27" s="92">
        <v>29690</v>
      </c>
      <c r="DW27" s="92">
        <v>7023</v>
      </c>
      <c r="DY27" s="4">
        <v>1</v>
      </c>
      <c r="DZ27" s="92">
        <v>5933</v>
      </c>
      <c r="EA27" s="92">
        <v>12378</v>
      </c>
      <c r="EB27" s="92">
        <v>3486</v>
      </c>
      <c r="ED27" s="4">
        <v>1</v>
      </c>
      <c r="EE27" s="92">
        <v>21571</v>
      </c>
      <c r="EF27" s="92">
        <v>19586</v>
      </c>
      <c r="EG27" s="92">
        <v>6249</v>
      </c>
      <c r="EI27" s="4">
        <v>1</v>
      </c>
      <c r="EJ27" s="92">
        <v>5875</v>
      </c>
      <c r="EK27" s="92">
        <v>12373</v>
      </c>
      <c r="EL27" s="92">
        <v>3475</v>
      </c>
      <c r="EN27" s="4">
        <v>1</v>
      </c>
      <c r="EO27" s="92">
        <v>11435</v>
      </c>
      <c r="EP27" s="92">
        <v>17485</v>
      </c>
      <c r="EQ27" s="92">
        <v>4373</v>
      </c>
      <c r="ES27" s="4">
        <v>1</v>
      </c>
      <c r="ET27" s="92">
        <v>6780</v>
      </c>
      <c r="EU27" s="92">
        <v>12608</v>
      </c>
      <c r="EV27" s="92">
        <v>4086</v>
      </c>
      <c r="EY27" t="s">
        <v>22</v>
      </c>
      <c r="EZ27" s="4">
        <v>1</v>
      </c>
      <c r="FA27" s="92">
        <v>7056</v>
      </c>
      <c r="FB27" s="92">
        <v>16993</v>
      </c>
      <c r="FC27" s="104">
        <v>3612</v>
      </c>
      <c r="FD27" s="2"/>
      <c r="FE27" s="4">
        <v>1</v>
      </c>
      <c r="FF27" s="106"/>
      <c r="FG27" s="106"/>
      <c r="FH27" s="107"/>
      <c r="FI27" s="2"/>
      <c r="FJ27" s="4">
        <v>1</v>
      </c>
      <c r="FK27" s="115"/>
      <c r="FL27" s="115"/>
      <c r="FM27" s="116"/>
      <c r="FN27" s="2"/>
      <c r="FO27" s="4">
        <v>1</v>
      </c>
      <c r="FP27" s="92">
        <v>32655</v>
      </c>
      <c r="FQ27" s="92">
        <v>28818</v>
      </c>
      <c r="FR27" s="104">
        <v>6972</v>
      </c>
      <c r="FS27" s="2"/>
      <c r="FT27" s="4">
        <v>1</v>
      </c>
      <c r="FU27" s="92">
        <v>19534</v>
      </c>
      <c r="FV27" s="92">
        <v>26101</v>
      </c>
      <c r="FW27" s="104">
        <v>6268</v>
      </c>
      <c r="FX27" s="2"/>
      <c r="FY27" s="4">
        <v>1</v>
      </c>
      <c r="FZ27" s="92">
        <v>25814</v>
      </c>
      <c r="GA27" s="92">
        <v>39174</v>
      </c>
      <c r="GB27" s="104">
        <v>6719</v>
      </c>
      <c r="GC27" s="2"/>
      <c r="GD27" s="4">
        <v>1</v>
      </c>
      <c r="GE27" s="92">
        <v>37871</v>
      </c>
      <c r="GF27" s="92">
        <v>31520</v>
      </c>
      <c r="GG27" s="104">
        <v>7303</v>
      </c>
      <c r="GH27" s="2"/>
      <c r="GI27" s="4">
        <v>1</v>
      </c>
      <c r="GJ27" s="92">
        <v>37787</v>
      </c>
      <c r="GK27" s="92">
        <v>38828</v>
      </c>
      <c r="GL27" s="104">
        <v>8588</v>
      </c>
      <c r="GM27" s="2"/>
      <c r="GN27" s="4">
        <v>1</v>
      </c>
      <c r="GO27" s="92">
        <v>34118</v>
      </c>
      <c r="GP27" s="92">
        <v>29992</v>
      </c>
      <c r="GQ27" s="104">
        <v>7023</v>
      </c>
      <c r="GR27" s="2"/>
      <c r="GS27" s="4">
        <v>1</v>
      </c>
      <c r="GT27" s="92">
        <v>16895</v>
      </c>
      <c r="GU27" s="92">
        <v>24349</v>
      </c>
      <c r="GV27" s="104">
        <v>5921</v>
      </c>
      <c r="GW27" s="2"/>
      <c r="GX27" s="4">
        <v>1</v>
      </c>
      <c r="GY27" s="92">
        <v>8333</v>
      </c>
      <c r="GZ27" s="92">
        <v>13554</v>
      </c>
      <c r="HA27" s="104">
        <v>4369</v>
      </c>
      <c r="HB27" s="2"/>
      <c r="HC27" s="4">
        <v>1</v>
      </c>
      <c r="HD27" s="92">
        <v>53451</v>
      </c>
      <c r="HE27" s="92">
        <v>37139</v>
      </c>
      <c r="HF27" s="104">
        <v>9421</v>
      </c>
      <c r="HG27" s="2"/>
      <c r="HH27" s="4">
        <v>1</v>
      </c>
      <c r="HI27" s="106"/>
      <c r="HJ27" s="106"/>
      <c r="HK27" s="107"/>
      <c r="HL27" s="2"/>
      <c r="HM27" s="4">
        <v>1</v>
      </c>
      <c r="HN27" s="92">
        <v>19588</v>
      </c>
      <c r="HO27" s="92">
        <v>20873</v>
      </c>
      <c r="HP27" s="104">
        <v>6434</v>
      </c>
      <c r="HQ27" s="2"/>
      <c r="HR27" s="4">
        <v>1</v>
      </c>
      <c r="HS27" s="92">
        <v>18307</v>
      </c>
      <c r="HT27" s="92">
        <v>19902</v>
      </c>
      <c r="HU27" s="104">
        <v>5330</v>
      </c>
    </row>
    <row r="28" spans="1:229" x14ac:dyDescent="0.25">
      <c r="A28" t="s">
        <v>22</v>
      </c>
      <c r="B28" s="4">
        <v>1</v>
      </c>
      <c r="C28" s="92">
        <v>3554</v>
      </c>
      <c r="D28" s="92">
        <v>10086</v>
      </c>
      <c r="E28" s="92">
        <v>3255</v>
      </c>
      <c r="G28" s="4">
        <v>1</v>
      </c>
      <c r="H28" s="52"/>
      <c r="I28" s="52"/>
      <c r="J28" s="52"/>
      <c r="L28" s="4">
        <v>1</v>
      </c>
      <c r="M28" s="92">
        <v>2909</v>
      </c>
      <c r="N28" s="92">
        <v>8910</v>
      </c>
      <c r="O28" s="92">
        <v>2429</v>
      </c>
      <c r="Q28" s="4">
        <v>1</v>
      </c>
      <c r="R28" s="92">
        <v>4135</v>
      </c>
      <c r="S28" s="92">
        <v>10053</v>
      </c>
      <c r="T28" s="92">
        <v>2920</v>
      </c>
      <c r="V28" s="4">
        <v>1</v>
      </c>
      <c r="W28" s="92">
        <v>5585</v>
      </c>
      <c r="X28" s="92">
        <v>18105</v>
      </c>
      <c r="Y28" s="92">
        <v>4850</v>
      </c>
      <c r="AA28" s="4">
        <v>1</v>
      </c>
      <c r="AB28" s="92">
        <v>3952</v>
      </c>
      <c r="AC28" s="92">
        <v>10894</v>
      </c>
      <c r="AD28" s="92">
        <v>3833</v>
      </c>
      <c r="AF28" s="4">
        <v>1</v>
      </c>
      <c r="AG28" s="92">
        <v>4443</v>
      </c>
      <c r="AH28" s="92">
        <v>9473</v>
      </c>
      <c r="AI28" s="92">
        <v>3087</v>
      </c>
      <c r="AK28" s="4">
        <v>1</v>
      </c>
      <c r="AL28" s="92">
        <v>5163</v>
      </c>
      <c r="AM28" s="92">
        <v>13498</v>
      </c>
      <c r="AN28" s="92">
        <v>4647</v>
      </c>
      <c r="AP28" s="4">
        <v>1</v>
      </c>
      <c r="AQ28" s="92">
        <v>1581</v>
      </c>
      <c r="AR28" s="92">
        <v>5820</v>
      </c>
      <c r="AS28" s="92">
        <v>2430</v>
      </c>
      <c r="AU28" s="4">
        <v>1</v>
      </c>
      <c r="AV28" s="92">
        <v>4486</v>
      </c>
      <c r="AW28" s="92">
        <v>11135</v>
      </c>
      <c r="AX28" s="92">
        <v>3060</v>
      </c>
      <c r="AZ28" s="4">
        <v>1</v>
      </c>
      <c r="BA28" s="92">
        <v>4018</v>
      </c>
      <c r="BB28" s="92">
        <v>8668</v>
      </c>
      <c r="BC28" s="92">
        <v>3013</v>
      </c>
      <c r="BE28" s="4">
        <v>1</v>
      </c>
      <c r="BF28" s="92">
        <v>7428</v>
      </c>
      <c r="BG28" s="92">
        <v>12048</v>
      </c>
      <c r="BH28" s="92">
        <v>4063</v>
      </c>
      <c r="BJ28" s="4">
        <v>1</v>
      </c>
      <c r="BK28" s="92">
        <v>2667</v>
      </c>
      <c r="BL28" s="92">
        <v>6990</v>
      </c>
      <c r="BM28" s="92">
        <v>2327</v>
      </c>
      <c r="BO28" s="4">
        <v>1</v>
      </c>
      <c r="BP28" s="92">
        <v>4275</v>
      </c>
      <c r="BQ28" s="92">
        <v>11314</v>
      </c>
      <c r="BR28" s="92">
        <v>3017</v>
      </c>
      <c r="BT28" s="4">
        <v>1</v>
      </c>
      <c r="BU28" s="92">
        <v>4355</v>
      </c>
      <c r="BV28" s="92">
        <v>9355</v>
      </c>
      <c r="BW28" s="92">
        <v>2901</v>
      </c>
      <c r="BZ28" t="s">
        <v>22</v>
      </c>
      <c r="CA28" s="4">
        <v>2</v>
      </c>
      <c r="CB28" s="92">
        <v>8376</v>
      </c>
      <c r="CC28" s="92">
        <v>14589</v>
      </c>
      <c r="CD28" s="92">
        <v>4369</v>
      </c>
      <c r="CF28" s="4">
        <v>2</v>
      </c>
      <c r="CG28" s="92">
        <v>14418</v>
      </c>
      <c r="CH28" s="92">
        <v>19145</v>
      </c>
      <c r="CI28" s="92">
        <v>5213</v>
      </c>
      <c r="CK28" s="4">
        <v>2</v>
      </c>
      <c r="CL28" s="92">
        <v>24442</v>
      </c>
      <c r="CM28" s="92">
        <v>30550</v>
      </c>
      <c r="CN28" s="92">
        <v>5810</v>
      </c>
      <c r="CP28" s="4">
        <v>2</v>
      </c>
      <c r="CQ28" s="92">
        <v>12624</v>
      </c>
      <c r="CR28" s="92">
        <v>18842</v>
      </c>
      <c r="CS28" s="92">
        <v>4381</v>
      </c>
      <c r="CU28" s="4">
        <v>2</v>
      </c>
      <c r="CV28" s="92">
        <v>14991</v>
      </c>
      <c r="CW28" s="92">
        <v>19970</v>
      </c>
      <c r="CX28" s="92">
        <v>4924</v>
      </c>
      <c r="CZ28" s="4">
        <v>2</v>
      </c>
      <c r="DA28" s="2">
        <v>10806</v>
      </c>
      <c r="DB28" s="2">
        <v>18469</v>
      </c>
      <c r="DC28" s="2">
        <v>5293</v>
      </c>
      <c r="DE28" s="4">
        <v>2</v>
      </c>
      <c r="DF28" s="96">
        <v>6299</v>
      </c>
      <c r="DG28" s="96">
        <v>10383</v>
      </c>
      <c r="DH28" s="96">
        <v>3589</v>
      </c>
      <c r="DJ28" s="4">
        <v>2</v>
      </c>
      <c r="DK28" s="92">
        <v>22500</v>
      </c>
      <c r="DL28" s="92">
        <v>27282</v>
      </c>
      <c r="DM28" s="92">
        <v>7410</v>
      </c>
      <c r="DO28" s="4">
        <v>2</v>
      </c>
      <c r="DP28" s="92">
        <v>10460</v>
      </c>
      <c r="DQ28" s="92">
        <v>17353</v>
      </c>
      <c r="DR28" s="92">
        <v>4018</v>
      </c>
      <c r="DT28" s="4">
        <v>2</v>
      </c>
      <c r="DU28" s="92">
        <v>19250</v>
      </c>
      <c r="DV28" s="92">
        <v>25334</v>
      </c>
      <c r="DW28" s="92">
        <v>5820</v>
      </c>
      <c r="DY28" s="4">
        <v>2</v>
      </c>
      <c r="DZ28" s="92">
        <v>3312</v>
      </c>
      <c r="EA28" s="92">
        <v>8445</v>
      </c>
      <c r="EB28" s="92">
        <v>2357</v>
      </c>
      <c r="ED28" s="4">
        <v>2</v>
      </c>
      <c r="EE28" s="92">
        <v>19541</v>
      </c>
      <c r="EF28" s="92">
        <v>18141</v>
      </c>
      <c r="EG28" s="92">
        <v>5455</v>
      </c>
      <c r="EI28" s="4">
        <v>2</v>
      </c>
      <c r="EJ28" s="92">
        <v>13668</v>
      </c>
      <c r="EK28" s="92">
        <v>15294</v>
      </c>
      <c r="EL28" s="92">
        <v>5146</v>
      </c>
      <c r="EN28" s="4">
        <v>2</v>
      </c>
      <c r="EO28" s="92">
        <v>16412</v>
      </c>
      <c r="EP28" s="92">
        <v>17708</v>
      </c>
      <c r="EQ28" s="92">
        <v>4983</v>
      </c>
      <c r="ES28" s="4">
        <v>2</v>
      </c>
      <c r="ET28" s="92">
        <v>10786</v>
      </c>
      <c r="EU28" s="92">
        <v>13267</v>
      </c>
      <c r="EV28" s="92">
        <v>4584</v>
      </c>
      <c r="EY28" t="s">
        <v>22</v>
      </c>
      <c r="EZ28" s="4">
        <v>2</v>
      </c>
      <c r="FA28" s="92">
        <v>5647</v>
      </c>
      <c r="FB28" s="92">
        <v>14915</v>
      </c>
      <c r="FC28" s="104">
        <v>3804</v>
      </c>
      <c r="FD28" s="2"/>
      <c r="FE28" s="4">
        <v>2</v>
      </c>
      <c r="FF28" s="92">
        <v>52421</v>
      </c>
      <c r="FG28" s="92">
        <v>50885</v>
      </c>
      <c r="FH28" s="104">
        <v>9905</v>
      </c>
      <c r="FI28" s="2"/>
      <c r="FJ28" s="4">
        <v>2</v>
      </c>
      <c r="FK28" s="92">
        <v>34187</v>
      </c>
      <c r="FL28" s="92">
        <v>30540</v>
      </c>
      <c r="FM28" s="104">
        <v>8741</v>
      </c>
      <c r="FN28" s="2"/>
      <c r="FO28" s="4">
        <v>2</v>
      </c>
      <c r="FP28" s="92">
        <v>33134</v>
      </c>
      <c r="FQ28" s="92">
        <v>30063</v>
      </c>
      <c r="FR28" s="104">
        <v>6776</v>
      </c>
      <c r="FS28" s="2"/>
      <c r="FT28" s="4">
        <v>2</v>
      </c>
      <c r="FU28" s="92">
        <v>21855</v>
      </c>
      <c r="FV28" s="92">
        <v>25971</v>
      </c>
      <c r="FW28" s="104">
        <v>5786</v>
      </c>
      <c r="FX28" s="2"/>
      <c r="FY28" s="4">
        <v>2</v>
      </c>
      <c r="FZ28" s="92">
        <v>19846</v>
      </c>
      <c r="GA28" s="92">
        <v>26637</v>
      </c>
      <c r="GB28" s="104">
        <v>6429</v>
      </c>
      <c r="GC28" s="2"/>
      <c r="GD28" s="4">
        <v>2</v>
      </c>
      <c r="GE28" s="92">
        <v>4997</v>
      </c>
      <c r="GF28" s="92">
        <v>9407</v>
      </c>
      <c r="GG28" s="104">
        <v>3344</v>
      </c>
      <c r="GH28" s="2"/>
      <c r="GI28" s="4">
        <v>2</v>
      </c>
      <c r="GJ28" s="92">
        <v>69860</v>
      </c>
      <c r="GK28" s="92">
        <v>58466</v>
      </c>
      <c r="GL28" s="104">
        <v>12084</v>
      </c>
      <c r="GM28" s="2"/>
      <c r="GN28" s="4">
        <v>2</v>
      </c>
      <c r="GO28" s="92">
        <v>57827</v>
      </c>
      <c r="GP28" s="92">
        <v>52130</v>
      </c>
      <c r="GQ28" s="104">
        <v>9679</v>
      </c>
      <c r="GR28" s="2"/>
      <c r="GS28" s="4">
        <v>2</v>
      </c>
      <c r="GT28" s="92">
        <v>24432</v>
      </c>
      <c r="GU28" s="92">
        <v>26663</v>
      </c>
      <c r="GV28" s="104">
        <v>7053</v>
      </c>
      <c r="GW28" s="2"/>
      <c r="GX28" s="4">
        <v>2</v>
      </c>
      <c r="GY28" s="92">
        <v>4991</v>
      </c>
      <c r="GZ28" s="92">
        <v>9493</v>
      </c>
      <c r="HA28" s="104">
        <v>2573</v>
      </c>
      <c r="HB28" s="2"/>
      <c r="HC28" s="4">
        <v>2</v>
      </c>
      <c r="HD28" s="92">
        <v>39296</v>
      </c>
      <c r="HE28" s="92">
        <v>37551</v>
      </c>
      <c r="HF28" s="104">
        <v>8154</v>
      </c>
      <c r="HG28" s="2"/>
      <c r="HH28" s="4">
        <v>2</v>
      </c>
      <c r="HI28" s="92">
        <v>32868</v>
      </c>
      <c r="HJ28" s="92">
        <v>24183</v>
      </c>
      <c r="HK28" s="104">
        <v>7437</v>
      </c>
      <c r="HL28" s="2"/>
      <c r="HM28" s="4">
        <v>2</v>
      </c>
      <c r="HN28" s="92">
        <v>35442</v>
      </c>
      <c r="HO28" s="92">
        <v>29783</v>
      </c>
      <c r="HP28" s="104">
        <v>7304</v>
      </c>
      <c r="HQ28" s="2"/>
      <c r="HR28" s="4">
        <v>2</v>
      </c>
      <c r="HS28" s="92">
        <v>24647</v>
      </c>
      <c r="HT28" s="92">
        <v>26093</v>
      </c>
      <c r="HU28" s="104">
        <v>6170</v>
      </c>
    </row>
    <row r="29" spans="1:229" x14ac:dyDescent="0.25">
      <c r="A29" t="s">
        <v>22</v>
      </c>
      <c r="B29" s="4">
        <v>2</v>
      </c>
      <c r="C29" s="92">
        <v>2874</v>
      </c>
      <c r="D29" s="92">
        <v>9592</v>
      </c>
      <c r="E29" s="92">
        <v>3306</v>
      </c>
      <c r="G29" s="4">
        <v>2</v>
      </c>
      <c r="H29" s="52"/>
      <c r="I29" s="52"/>
      <c r="J29" s="52"/>
      <c r="L29" s="4">
        <v>2</v>
      </c>
      <c r="M29" s="92">
        <v>6717</v>
      </c>
      <c r="N29" s="92">
        <v>14427</v>
      </c>
      <c r="O29" s="92">
        <v>3626</v>
      </c>
      <c r="Q29" s="4">
        <v>2</v>
      </c>
      <c r="R29" s="92">
        <v>6365</v>
      </c>
      <c r="S29" s="92">
        <v>10927</v>
      </c>
      <c r="T29" s="92">
        <v>3426</v>
      </c>
      <c r="V29" s="4">
        <v>2</v>
      </c>
      <c r="W29" s="92">
        <v>6824</v>
      </c>
      <c r="X29" s="92">
        <v>12816</v>
      </c>
      <c r="Y29" s="92">
        <v>3537</v>
      </c>
      <c r="AA29" s="4">
        <v>2</v>
      </c>
      <c r="AB29" s="92">
        <v>3191</v>
      </c>
      <c r="AC29" s="92">
        <v>9397</v>
      </c>
      <c r="AD29" s="92">
        <v>2660</v>
      </c>
      <c r="AF29" s="4">
        <v>2</v>
      </c>
      <c r="AG29" s="92">
        <v>5057</v>
      </c>
      <c r="AH29" s="92">
        <v>10984</v>
      </c>
      <c r="AI29" s="92">
        <v>3538</v>
      </c>
      <c r="AK29" s="4">
        <v>2</v>
      </c>
      <c r="AL29" s="92">
        <v>7459</v>
      </c>
      <c r="AM29" s="92">
        <v>17059</v>
      </c>
      <c r="AN29" s="92">
        <v>4946</v>
      </c>
      <c r="AP29" s="4">
        <v>2</v>
      </c>
      <c r="AQ29" s="92">
        <v>2383</v>
      </c>
      <c r="AR29" s="92">
        <v>6985</v>
      </c>
      <c r="AS29" s="92">
        <v>2225</v>
      </c>
      <c r="AU29" s="4">
        <v>2</v>
      </c>
      <c r="AV29" s="92">
        <v>3193</v>
      </c>
      <c r="AW29" s="92">
        <v>9152</v>
      </c>
      <c r="AX29" s="92">
        <v>2624</v>
      </c>
      <c r="AZ29" s="4">
        <v>2</v>
      </c>
      <c r="BA29" s="92">
        <v>3561</v>
      </c>
      <c r="BB29" s="92">
        <v>9487</v>
      </c>
      <c r="BC29" s="92">
        <v>2570</v>
      </c>
      <c r="BE29" s="4">
        <v>2</v>
      </c>
      <c r="BF29" s="92">
        <v>7589</v>
      </c>
      <c r="BG29" s="92">
        <v>13690</v>
      </c>
      <c r="BH29" s="92">
        <v>3873</v>
      </c>
      <c r="BJ29" s="4">
        <v>2</v>
      </c>
      <c r="BK29" s="92">
        <v>7298</v>
      </c>
      <c r="BL29" s="92">
        <v>12468</v>
      </c>
      <c r="BM29" s="92">
        <v>4027</v>
      </c>
      <c r="BO29" s="4">
        <v>2</v>
      </c>
      <c r="BP29" s="92">
        <v>5557</v>
      </c>
      <c r="BQ29" s="92">
        <v>12362</v>
      </c>
      <c r="BR29" s="92">
        <v>3744</v>
      </c>
      <c r="BT29" s="4">
        <v>2</v>
      </c>
      <c r="BU29" s="92">
        <v>2767</v>
      </c>
      <c r="BV29" s="92">
        <v>7113</v>
      </c>
      <c r="BW29" s="92">
        <v>2154</v>
      </c>
      <c r="BZ29" t="s">
        <v>22</v>
      </c>
      <c r="CA29" s="4">
        <v>3</v>
      </c>
      <c r="CB29" s="92">
        <v>14585</v>
      </c>
      <c r="CC29" s="92">
        <v>19045</v>
      </c>
      <c r="CD29" s="92">
        <v>5201</v>
      </c>
      <c r="CF29" s="4">
        <v>3</v>
      </c>
      <c r="CG29" s="92">
        <v>9929</v>
      </c>
      <c r="CH29" s="92">
        <v>18439</v>
      </c>
      <c r="CI29" s="92">
        <v>4187</v>
      </c>
      <c r="CK29" s="4">
        <v>3</v>
      </c>
      <c r="CL29" s="92">
        <v>13554</v>
      </c>
      <c r="CM29" s="92">
        <v>18057</v>
      </c>
      <c r="CN29" s="92">
        <v>4581</v>
      </c>
      <c r="CP29" s="4">
        <v>3</v>
      </c>
      <c r="CQ29" s="92">
        <v>10140</v>
      </c>
      <c r="CR29" s="92">
        <v>23145</v>
      </c>
      <c r="CS29" s="92">
        <v>4971</v>
      </c>
      <c r="CU29" s="4">
        <v>3</v>
      </c>
      <c r="CV29" s="92">
        <v>9624</v>
      </c>
      <c r="CW29" s="92">
        <v>14561</v>
      </c>
      <c r="CX29" s="92">
        <v>4150</v>
      </c>
      <c r="CZ29" s="4">
        <v>3</v>
      </c>
      <c r="DA29" s="2">
        <v>14214</v>
      </c>
      <c r="DB29" s="2">
        <v>22446</v>
      </c>
      <c r="DC29" s="2">
        <v>4451</v>
      </c>
      <c r="DE29" s="4">
        <v>3</v>
      </c>
      <c r="DF29" s="96">
        <v>4688</v>
      </c>
      <c r="DG29" s="96">
        <v>8467</v>
      </c>
      <c r="DH29" s="96">
        <v>2850</v>
      </c>
      <c r="DJ29" s="4">
        <v>3</v>
      </c>
      <c r="DK29" s="92">
        <v>13729</v>
      </c>
      <c r="DL29" s="92">
        <v>16775</v>
      </c>
      <c r="DM29" s="92">
        <v>4467</v>
      </c>
      <c r="DO29" s="4">
        <v>3</v>
      </c>
      <c r="DP29" s="92">
        <v>24875</v>
      </c>
      <c r="DQ29" s="92">
        <v>26715</v>
      </c>
      <c r="DR29" s="92">
        <v>6903</v>
      </c>
      <c r="DT29" s="4">
        <v>3</v>
      </c>
      <c r="DU29" s="92">
        <v>18206</v>
      </c>
      <c r="DV29" s="92">
        <v>23050</v>
      </c>
      <c r="DW29" s="92">
        <v>5411</v>
      </c>
      <c r="DY29" s="4">
        <v>3</v>
      </c>
      <c r="DZ29" s="92">
        <v>2435</v>
      </c>
      <c r="EA29" s="92">
        <v>7687</v>
      </c>
      <c r="EB29" s="92">
        <v>1917</v>
      </c>
      <c r="ED29" s="4">
        <v>3</v>
      </c>
      <c r="EE29" s="92">
        <v>20495</v>
      </c>
      <c r="EF29" s="92">
        <v>20259</v>
      </c>
      <c r="EG29" s="92">
        <v>5400</v>
      </c>
      <c r="EI29" s="4">
        <v>3</v>
      </c>
      <c r="EJ29" s="92">
        <v>9031</v>
      </c>
      <c r="EK29" s="92">
        <v>12619</v>
      </c>
      <c r="EL29" s="92">
        <v>3640</v>
      </c>
      <c r="EN29" s="4">
        <v>3</v>
      </c>
      <c r="EO29" s="92">
        <v>6702</v>
      </c>
      <c r="EP29" s="92">
        <v>11018</v>
      </c>
      <c r="EQ29" s="92">
        <v>3056</v>
      </c>
      <c r="ES29" s="4">
        <v>3</v>
      </c>
      <c r="ET29" s="92">
        <v>12385</v>
      </c>
      <c r="EU29" s="92">
        <v>18936</v>
      </c>
      <c r="EV29" s="92">
        <v>5541</v>
      </c>
      <c r="EY29" t="s">
        <v>22</v>
      </c>
      <c r="EZ29" s="4">
        <v>3</v>
      </c>
      <c r="FA29" s="92">
        <v>15156</v>
      </c>
      <c r="FB29" s="92">
        <v>23979</v>
      </c>
      <c r="FC29" s="104">
        <v>6346</v>
      </c>
      <c r="FD29" s="2"/>
      <c r="FE29" s="4">
        <v>3</v>
      </c>
      <c r="FF29" s="92">
        <v>22192</v>
      </c>
      <c r="FG29" s="92">
        <v>31160</v>
      </c>
      <c r="FH29" s="104">
        <v>6057</v>
      </c>
      <c r="FI29" s="2"/>
      <c r="FJ29" s="4">
        <v>3</v>
      </c>
      <c r="FK29" s="92">
        <v>35750</v>
      </c>
      <c r="FL29" s="92">
        <v>28197</v>
      </c>
      <c r="FM29" s="104">
        <v>7116</v>
      </c>
      <c r="FN29" s="2"/>
      <c r="FO29" s="4">
        <v>3</v>
      </c>
      <c r="FP29" s="92">
        <v>22868</v>
      </c>
      <c r="FQ29" s="92">
        <v>30803</v>
      </c>
      <c r="FR29" s="104">
        <v>6472</v>
      </c>
      <c r="FS29" s="2"/>
      <c r="FT29" s="4">
        <v>3</v>
      </c>
      <c r="FU29" s="92">
        <v>13924</v>
      </c>
      <c r="FV29" s="92">
        <v>21422</v>
      </c>
      <c r="FW29" s="104">
        <v>4925</v>
      </c>
      <c r="FX29" s="2"/>
      <c r="FY29" s="4">
        <v>3</v>
      </c>
      <c r="FZ29" s="92">
        <v>26018</v>
      </c>
      <c r="GA29" s="92">
        <v>29504</v>
      </c>
      <c r="GB29" s="104">
        <v>7014</v>
      </c>
      <c r="GC29" s="2"/>
      <c r="GD29" s="4">
        <v>3</v>
      </c>
      <c r="GE29" s="92">
        <v>5167</v>
      </c>
      <c r="GF29" s="92">
        <v>9278</v>
      </c>
      <c r="GG29" s="104">
        <v>2866</v>
      </c>
      <c r="GH29" s="2"/>
      <c r="GI29" s="4">
        <v>3</v>
      </c>
      <c r="GJ29" s="92">
        <v>40253</v>
      </c>
      <c r="GK29" s="92">
        <v>44231</v>
      </c>
      <c r="GL29" s="104">
        <v>8138</v>
      </c>
      <c r="GM29" s="2"/>
      <c r="GN29" s="4">
        <v>3</v>
      </c>
      <c r="GO29" s="92">
        <v>30738</v>
      </c>
      <c r="GP29" s="92">
        <v>31914</v>
      </c>
      <c r="GQ29" s="104">
        <v>6967</v>
      </c>
      <c r="GR29" s="2"/>
      <c r="GS29" s="4">
        <v>3</v>
      </c>
      <c r="GT29" s="92">
        <v>19537</v>
      </c>
      <c r="GU29" s="92">
        <v>20697</v>
      </c>
      <c r="GV29" s="104">
        <v>5717</v>
      </c>
      <c r="GW29" s="2"/>
      <c r="GX29" s="4">
        <v>3</v>
      </c>
      <c r="GY29" s="92">
        <v>5282</v>
      </c>
      <c r="GZ29" s="92">
        <v>10546</v>
      </c>
      <c r="HA29" s="104">
        <v>2911</v>
      </c>
      <c r="HB29" s="2"/>
      <c r="HC29" s="4">
        <v>3</v>
      </c>
      <c r="HD29" s="92">
        <v>44994</v>
      </c>
      <c r="HE29" s="92">
        <v>31645</v>
      </c>
      <c r="HF29" s="104">
        <v>7595</v>
      </c>
      <c r="HG29" s="2"/>
      <c r="HH29" s="4">
        <v>3</v>
      </c>
      <c r="HI29" s="92">
        <v>26672</v>
      </c>
      <c r="HJ29" s="92">
        <v>20970</v>
      </c>
      <c r="HK29" s="104">
        <v>6183</v>
      </c>
      <c r="HL29" s="2"/>
      <c r="HM29" s="4">
        <v>3</v>
      </c>
      <c r="HN29" s="106"/>
      <c r="HO29" s="106"/>
      <c r="HP29" s="107"/>
      <c r="HQ29" s="2"/>
      <c r="HR29" s="4">
        <v>3</v>
      </c>
      <c r="HS29" s="92">
        <v>26725</v>
      </c>
      <c r="HT29" s="92">
        <v>35630</v>
      </c>
      <c r="HU29" s="104">
        <v>7637</v>
      </c>
    </row>
    <row r="30" spans="1:229" x14ac:dyDescent="0.25">
      <c r="A30" t="s">
        <v>22</v>
      </c>
      <c r="B30" s="4">
        <v>3</v>
      </c>
      <c r="C30" s="92">
        <v>5194</v>
      </c>
      <c r="D30" s="92">
        <v>11096</v>
      </c>
      <c r="E30" s="92">
        <v>3530</v>
      </c>
      <c r="G30" s="4">
        <v>3</v>
      </c>
      <c r="H30" s="52"/>
      <c r="I30" s="52"/>
      <c r="J30" s="52"/>
      <c r="L30" s="4">
        <v>3</v>
      </c>
      <c r="M30" s="92">
        <v>3334</v>
      </c>
      <c r="N30" s="92">
        <v>7841</v>
      </c>
      <c r="O30" s="92">
        <v>2159</v>
      </c>
      <c r="Q30" s="4">
        <v>3</v>
      </c>
      <c r="R30" s="92">
        <v>4186</v>
      </c>
      <c r="S30" s="92">
        <v>9085</v>
      </c>
      <c r="T30" s="92">
        <v>3122</v>
      </c>
      <c r="V30" s="4">
        <v>3</v>
      </c>
      <c r="W30" s="92">
        <v>4581</v>
      </c>
      <c r="X30" s="92">
        <v>9888</v>
      </c>
      <c r="Y30" s="92">
        <v>3075</v>
      </c>
      <c r="AA30" s="4">
        <v>3</v>
      </c>
      <c r="AB30" s="92">
        <v>3619</v>
      </c>
      <c r="AC30" s="92">
        <v>10804</v>
      </c>
      <c r="AD30" s="92">
        <v>3211</v>
      </c>
      <c r="AF30" s="4">
        <v>3</v>
      </c>
      <c r="AG30" s="92">
        <v>2842</v>
      </c>
      <c r="AH30" s="92">
        <v>8302</v>
      </c>
      <c r="AI30" s="92">
        <v>2201</v>
      </c>
      <c r="AK30" s="4">
        <v>3</v>
      </c>
      <c r="AL30" s="92">
        <v>2496</v>
      </c>
      <c r="AM30" s="92">
        <v>7621</v>
      </c>
      <c r="AN30" s="92">
        <v>2881</v>
      </c>
      <c r="AP30" s="4">
        <v>3</v>
      </c>
      <c r="AQ30" s="92">
        <v>7684</v>
      </c>
      <c r="AR30" s="92">
        <v>14244</v>
      </c>
      <c r="AS30" s="92">
        <v>4088</v>
      </c>
      <c r="AU30" s="4">
        <v>3</v>
      </c>
      <c r="AV30" s="92">
        <v>4212</v>
      </c>
      <c r="AW30" s="92">
        <v>10824</v>
      </c>
      <c r="AX30" s="92">
        <v>3384</v>
      </c>
      <c r="AZ30" s="4">
        <v>3</v>
      </c>
      <c r="BA30" s="92">
        <v>2650</v>
      </c>
      <c r="BB30" s="92">
        <v>6776</v>
      </c>
      <c r="BC30" s="92">
        <v>2009</v>
      </c>
      <c r="BE30" s="4">
        <v>3</v>
      </c>
      <c r="BF30" s="92">
        <v>5546</v>
      </c>
      <c r="BG30" s="92">
        <v>9857</v>
      </c>
      <c r="BH30" s="92">
        <v>3263</v>
      </c>
      <c r="BJ30" s="4">
        <v>3</v>
      </c>
      <c r="BK30" s="92">
        <v>2723</v>
      </c>
      <c r="BL30" s="92">
        <v>6872</v>
      </c>
      <c r="BM30" s="92">
        <v>2206</v>
      </c>
      <c r="BO30" s="4">
        <v>3</v>
      </c>
      <c r="BP30" s="92">
        <v>4085</v>
      </c>
      <c r="BQ30" s="92">
        <v>8907</v>
      </c>
      <c r="BR30" s="92">
        <v>2232</v>
      </c>
      <c r="BT30" s="4">
        <v>3</v>
      </c>
      <c r="BU30" s="92">
        <v>6568</v>
      </c>
      <c r="BV30" s="92">
        <v>12555</v>
      </c>
      <c r="BW30" s="92">
        <v>3320</v>
      </c>
      <c r="BZ30" t="s">
        <v>22</v>
      </c>
      <c r="CA30" s="4">
        <v>4</v>
      </c>
      <c r="CB30" s="92">
        <v>13240</v>
      </c>
      <c r="CC30" s="92">
        <v>20144</v>
      </c>
      <c r="CD30" s="92">
        <v>5217</v>
      </c>
      <c r="CF30" s="4">
        <v>4</v>
      </c>
      <c r="CG30" s="92">
        <v>4794</v>
      </c>
      <c r="CH30" s="92">
        <v>9788</v>
      </c>
      <c r="CI30" s="92">
        <v>2936</v>
      </c>
      <c r="CK30" s="4">
        <v>4</v>
      </c>
      <c r="CL30" s="92">
        <v>13178</v>
      </c>
      <c r="CM30" s="92">
        <v>15267</v>
      </c>
      <c r="CN30" s="92">
        <v>5007</v>
      </c>
      <c r="CP30" s="4">
        <v>4</v>
      </c>
      <c r="CQ30" s="92">
        <v>11459</v>
      </c>
      <c r="CR30" s="92">
        <v>17652</v>
      </c>
      <c r="CS30" s="92">
        <v>4509</v>
      </c>
      <c r="CU30" s="4">
        <v>4</v>
      </c>
      <c r="CV30" s="92">
        <v>5193</v>
      </c>
      <c r="CW30" s="92">
        <v>11051</v>
      </c>
      <c r="CX30" s="92">
        <v>3403</v>
      </c>
      <c r="CZ30" s="4">
        <v>4</v>
      </c>
      <c r="DA30" s="2">
        <v>15601</v>
      </c>
      <c r="DB30" s="2">
        <v>25252</v>
      </c>
      <c r="DC30" s="2">
        <v>6420</v>
      </c>
      <c r="DE30" s="4">
        <v>4</v>
      </c>
      <c r="DF30" s="92">
        <v>6291</v>
      </c>
      <c r="DG30" s="92">
        <v>12483</v>
      </c>
      <c r="DH30" s="92">
        <v>3277</v>
      </c>
      <c r="DJ30" s="4">
        <v>4</v>
      </c>
      <c r="DK30" s="92">
        <v>28752</v>
      </c>
      <c r="DL30" s="92">
        <v>34127</v>
      </c>
      <c r="DM30" s="92">
        <v>7407</v>
      </c>
      <c r="DO30" s="4">
        <v>4</v>
      </c>
      <c r="DP30" s="92">
        <v>12896</v>
      </c>
      <c r="DQ30" s="92">
        <v>15533</v>
      </c>
      <c r="DR30" s="92">
        <v>5086</v>
      </c>
      <c r="DT30" s="4">
        <v>4</v>
      </c>
      <c r="DU30" s="92">
        <v>7892</v>
      </c>
      <c r="DV30" s="92">
        <v>17877</v>
      </c>
      <c r="DW30" s="92">
        <v>4621</v>
      </c>
      <c r="DY30" s="4">
        <v>4</v>
      </c>
      <c r="DZ30" s="92">
        <v>8533</v>
      </c>
      <c r="EA30" s="92">
        <v>13925</v>
      </c>
      <c r="EB30" s="92">
        <v>4275</v>
      </c>
      <c r="ED30" s="4">
        <v>4</v>
      </c>
      <c r="EE30" s="92">
        <v>13992</v>
      </c>
      <c r="EF30" s="92">
        <v>16138</v>
      </c>
      <c r="EG30" s="92">
        <v>4634</v>
      </c>
      <c r="EI30" s="4">
        <v>4</v>
      </c>
      <c r="EJ30" s="92">
        <v>17224</v>
      </c>
      <c r="EK30" s="92">
        <v>17673</v>
      </c>
      <c r="EL30" s="92">
        <v>5133</v>
      </c>
      <c r="EN30" s="4">
        <v>4</v>
      </c>
      <c r="EO30" s="92">
        <v>10610</v>
      </c>
      <c r="EP30" s="92">
        <v>14997</v>
      </c>
      <c r="EQ30" s="92">
        <v>4723</v>
      </c>
      <c r="ES30" s="4">
        <v>4</v>
      </c>
      <c r="ET30" s="96">
        <v>3681</v>
      </c>
      <c r="EU30" s="96">
        <v>7572</v>
      </c>
      <c r="EV30" s="96">
        <v>2935</v>
      </c>
      <c r="EY30" t="s">
        <v>22</v>
      </c>
      <c r="EZ30" s="4">
        <v>4</v>
      </c>
      <c r="FA30" s="92">
        <v>16269</v>
      </c>
      <c r="FB30" s="92">
        <v>26363</v>
      </c>
      <c r="FC30" s="104">
        <v>5811</v>
      </c>
      <c r="FD30" s="2"/>
      <c r="FE30" s="4">
        <v>4</v>
      </c>
      <c r="FF30" s="92">
        <v>9795</v>
      </c>
      <c r="FG30" s="92">
        <v>15188</v>
      </c>
      <c r="FH30" s="104">
        <v>3807</v>
      </c>
      <c r="FI30" s="2"/>
      <c r="FJ30" s="4">
        <v>4</v>
      </c>
      <c r="FK30" s="92">
        <v>30153</v>
      </c>
      <c r="FL30" s="92">
        <v>32210</v>
      </c>
      <c r="FM30" s="104">
        <v>7378</v>
      </c>
      <c r="FN30" s="2"/>
      <c r="FO30" s="4">
        <v>4</v>
      </c>
      <c r="FP30" s="92">
        <v>23206</v>
      </c>
      <c r="FQ30" s="92">
        <v>25890</v>
      </c>
      <c r="FR30" s="104">
        <v>6491</v>
      </c>
      <c r="FS30" s="2"/>
      <c r="FT30" s="4">
        <v>4</v>
      </c>
      <c r="FU30" s="92">
        <v>10294</v>
      </c>
      <c r="FV30" s="92">
        <v>21398</v>
      </c>
      <c r="FW30" s="104">
        <v>4293</v>
      </c>
      <c r="FX30" s="2"/>
      <c r="FY30" s="4">
        <v>4</v>
      </c>
      <c r="FZ30" s="92">
        <v>20954</v>
      </c>
      <c r="GA30" s="92">
        <v>25851</v>
      </c>
      <c r="GB30" s="104">
        <v>5797</v>
      </c>
      <c r="GC30" s="2"/>
      <c r="GD30" s="4">
        <v>4</v>
      </c>
      <c r="GE30" s="106"/>
      <c r="GF30" s="106"/>
      <c r="GG30" s="107"/>
      <c r="GH30" s="2"/>
      <c r="GI30" s="4">
        <v>4</v>
      </c>
      <c r="GJ30" s="92">
        <v>37953</v>
      </c>
      <c r="GK30" s="92">
        <v>44012</v>
      </c>
      <c r="GL30" s="104">
        <v>8830</v>
      </c>
      <c r="GM30" s="2"/>
      <c r="GN30" s="4">
        <v>4</v>
      </c>
      <c r="GO30" s="92">
        <v>35432</v>
      </c>
      <c r="GP30" s="92">
        <v>36452</v>
      </c>
      <c r="GQ30" s="104">
        <v>7798</v>
      </c>
      <c r="GR30" s="2"/>
      <c r="GS30" s="4">
        <v>4</v>
      </c>
      <c r="GT30" s="92">
        <v>9580</v>
      </c>
      <c r="GU30" s="92">
        <v>15925</v>
      </c>
      <c r="GV30" s="104">
        <v>5142</v>
      </c>
      <c r="GW30" s="2"/>
      <c r="GX30" s="4">
        <v>4</v>
      </c>
      <c r="GY30" s="92">
        <v>13487</v>
      </c>
      <c r="GZ30" s="92">
        <v>22537</v>
      </c>
      <c r="HA30" s="104">
        <v>5790</v>
      </c>
      <c r="HB30" s="2"/>
      <c r="HC30" s="4">
        <v>4</v>
      </c>
      <c r="HD30" s="92">
        <v>38878</v>
      </c>
      <c r="HE30" s="92">
        <v>30985</v>
      </c>
      <c r="HF30" s="104">
        <v>8407</v>
      </c>
      <c r="HG30" s="2"/>
      <c r="HH30" s="4">
        <v>4</v>
      </c>
      <c r="HI30" s="92">
        <v>42458</v>
      </c>
      <c r="HJ30" s="92">
        <v>30083</v>
      </c>
      <c r="HK30" s="104">
        <v>7859</v>
      </c>
      <c r="HL30" s="2"/>
      <c r="HM30" s="4">
        <v>4</v>
      </c>
      <c r="HN30" s="92">
        <v>23184</v>
      </c>
      <c r="HO30" s="92">
        <v>28771</v>
      </c>
      <c r="HP30" s="104">
        <v>7295</v>
      </c>
      <c r="HQ30" s="2"/>
      <c r="HR30" s="4">
        <v>4</v>
      </c>
      <c r="HS30" s="94" t="s">
        <v>19</v>
      </c>
      <c r="HT30" s="92">
        <v>3619</v>
      </c>
      <c r="HU30" s="104">
        <v>1012</v>
      </c>
    </row>
    <row r="31" spans="1:229" x14ac:dyDescent="0.25">
      <c r="A31" t="s">
        <v>22</v>
      </c>
      <c r="B31" s="4">
        <v>4</v>
      </c>
      <c r="C31" s="92">
        <v>3539</v>
      </c>
      <c r="D31" s="92">
        <v>9216</v>
      </c>
      <c r="E31" s="92">
        <v>3041</v>
      </c>
      <c r="G31" s="4">
        <v>4</v>
      </c>
      <c r="H31" s="52"/>
      <c r="I31" s="52"/>
      <c r="J31" s="52"/>
      <c r="L31" s="4">
        <v>4</v>
      </c>
      <c r="M31" s="92">
        <v>4055</v>
      </c>
      <c r="N31" s="92">
        <v>11373</v>
      </c>
      <c r="O31" s="92">
        <v>3333</v>
      </c>
      <c r="Q31" s="4">
        <v>4</v>
      </c>
      <c r="R31" s="92">
        <v>3436</v>
      </c>
      <c r="S31" s="92">
        <v>9057</v>
      </c>
      <c r="T31" s="92">
        <v>3409</v>
      </c>
      <c r="V31" s="4">
        <v>4</v>
      </c>
      <c r="W31" s="92">
        <v>5742</v>
      </c>
      <c r="X31" s="92">
        <v>15865</v>
      </c>
      <c r="Y31" s="92">
        <v>3531</v>
      </c>
      <c r="AA31" s="4">
        <v>4</v>
      </c>
      <c r="AB31" s="92">
        <v>3843</v>
      </c>
      <c r="AC31" s="92">
        <v>10760</v>
      </c>
      <c r="AD31" s="92">
        <v>2957</v>
      </c>
      <c r="AF31" s="4">
        <v>4</v>
      </c>
      <c r="AG31" s="92">
        <v>3531</v>
      </c>
      <c r="AH31" s="92">
        <v>12860</v>
      </c>
      <c r="AI31" s="92">
        <v>3166</v>
      </c>
      <c r="AK31" s="4">
        <v>4</v>
      </c>
      <c r="AL31" s="92">
        <v>7650</v>
      </c>
      <c r="AM31" s="92">
        <v>17260</v>
      </c>
      <c r="AN31" s="92">
        <v>4291</v>
      </c>
      <c r="AP31" s="4">
        <v>4</v>
      </c>
      <c r="AQ31" s="92">
        <v>4936</v>
      </c>
      <c r="AR31" s="92">
        <v>10224</v>
      </c>
      <c r="AS31" s="92">
        <v>3276</v>
      </c>
      <c r="AU31" s="4">
        <v>4</v>
      </c>
      <c r="AV31" s="92">
        <v>3936</v>
      </c>
      <c r="AW31" s="92">
        <v>11793</v>
      </c>
      <c r="AX31" s="92">
        <v>3835</v>
      </c>
      <c r="AZ31" s="4">
        <v>4</v>
      </c>
      <c r="BA31" s="92">
        <v>5908</v>
      </c>
      <c r="BB31" s="92">
        <v>12700</v>
      </c>
      <c r="BC31" s="92">
        <v>3739</v>
      </c>
      <c r="BE31" s="4">
        <v>4</v>
      </c>
      <c r="BF31" s="92">
        <v>3891</v>
      </c>
      <c r="BG31" s="92">
        <v>9070</v>
      </c>
      <c r="BH31" s="92">
        <v>3249</v>
      </c>
      <c r="BJ31" s="4">
        <v>4</v>
      </c>
      <c r="BK31" s="92">
        <v>5078</v>
      </c>
      <c r="BL31" s="92">
        <v>10061</v>
      </c>
      <c r="BM31" s="92">
        <v>3329</v>
      </c>
      <c r="BO31" s="4">
        <v>4</v>
      </c>
      <c r="BP31" s="92">
        <v>4237</v>
      </c>
      <c r="BQ31" s="92">
        <v>9237</v>
      </c>
      <c r="BR31" s="92">
        <v>2522</v>
      </c>
      <c r="BT31" s="4">
        <v>4</v>
      </c>
      <c r="BU31" s="92">
        <v>2691</v>
      </c>
      <c r="BV31" s="92">
        <v>8227</v>
      </c>
      <c r="BW31" s="92">
        <v>2040</v>
      </c>
      <c r="BZ31" t="s">
        <v>22</v>
      </c>
      <c r="CA31" s="4">
        <v>5</v>
      </c>
      <c r="CB31" s="92">
        <v>7585</v>
      </c>
      <c r="CC31" s="92">
        <v>11597</v>
      </c>
      <c r="CD31" s="92">
        <v>3778</v>
      </c>
      <c r="CF31" s="4">
        <v>5</v>
      </c>
      <c r="CG31" s="92">
        <v>10355</v>
      </c>
      <c r="CH31" s="92">
        <v>17179</v>
      </c>
      <c r="CI31" s="92">
        <v>3921</v>
      </c>
      <c r="CK31" s="4">
        <v>5</v>
      </c>
      <c r="CL31" s="92">
        <v>20670</v>
      </c>
      <c r="CM31" s="92">
        <v>24610</v>
      </c>
      <c r="CN31" s="92">
        <v>6155</v>
      </c>
      <c r="CP31" s="4">
        <v>5</v>
      </c>
      <c r="CQ31" s="92">
        <v>9466</v>
      </c>
      <c r="CR31" s="92">
        <v>15034</v>
      </c>
      <c r="CS31" s="92">
        <v>4829</v>
      </c>
      <c r="CU31" s="4">
        <v>5</v>
      </c>
      <c r="CV31" s="92">
        <v>9961</v>
      </c>
      <c r="CW31" s="92">
        <v>17835</v>
      </c>
      <c r="CX31" s="92">
        <v>5664</v>
      </c>
      <c r="CZ31" s="4">
        <v>5</v>
      </c>
      <c r="DA31" s="2">
        <v>9835</v>
      </c>
      <c r="DB31" s="2">
        <v>20890</v>
      </c>
      <c r="DC31" s="2">
        <v>5047</v>
      </c>
      <c r="DE31" s="4">
        <v>5</v>
      </c>
      <c r="DF31" s="92">
        <v>13638</v>
      </c>
      <c r="DG31" s="92">
        <v>18644</v>
      </c>
      <c r="DH31" s="92">
        <v>5358</v>
      </c>
      <c r="DJ31" s="4">
        <v>5</v>
      </c>
      <c r="DK31" s="92">
        <v>12098</v>
      </c>
      <c r="DL31" s="92">
        <v>16395</v>
      </c>
      <c r="DM31" s="92">
        <v>4768</v>
      </c>
      <c r="DO31" s="4">
        <v>5</v>
      </c>
      <c r="DP31" s="92">
        <v>17250</v>
      </c>
      <c r="DQ31" s="92">
        <v>23502</v>
      </c>
      <c r="DR31" s="92">
        <v>5744</v>
      </c>
      <c r="DT31" s="4">
        <v>5</v>
      </c>
      <c r="DU31" s="92">
        <v>16309</v>
      </c>
      <c r="DV31" s="92">
        <v>24493</v>
      </c>
      <c r="DW31" s="92">
        <v>6282</v>
      </c>
      <c r="DY31" s="4">
        <v>5</v>
      </c>
      <c r="DZ31" s="92">
        <v>2394</v>
      </c>
      <c r="EA31" s="92">
        <v>5831</v>
      </c>
      <c r="EB31" s="92">
        <v>1787</v>
      </c>
      <c r="ED31" s="4">
        <v>5</v>
      </c>
      <c r="EE31" s="92">
        <v>16644</v>
      </c>
      <c r="EF31" s="92">
        <v>16432</v>
      </c>
      <c r="EG31" s="92">
        <v>5087</v>
      </c>
      <c r="EI31" s="4">
        <v>5</v>
      </c>
      <c r="EJ31" s="92">
        <v>14257</v>
      </c>
      <c r="EK31" s="92">
        <v>15499</v>
      </c>
      <c r="EL31" s="92">
        <v>4852</v>
      </c>
      <c r="EN31" s="4">
        <v>5</v>
      </c>
      <c r="EO31" s="92">
        <v>3861</v>
      </c>
      <c r="EP31" s="92">
        <v>9228</v>
      </c>
      <c r="EQ31" s="92">
        <v>3024</v>
      </c>
      <c r="ES31" s="4">
        <v>5</v>
      </c>
      <c r="ET31" s="92">
        <v>5310</v>
      </c>
      <c r="EU31" s="92">
        <v>9494</v>
      </c>
      <c r="EV31" s="92">
        <v>3383</v>
      </c>
      <c r="EY31" t="s">
        <v>22</v>
      </c>
      <c r="EZ31" s="4">
        <v>5</v>
      </c>
      <c r="FA31" s="92">
        <v>8457</v>
      </c>
      <c r="FB31" s="92">
        <v>18255</v>
      </c>
      <c r="FC31" s="104">
        <v>4124</v>
      </c>
      <c r="FD31" s="2"/>
      <c r="FE31" s="4">
        <v>5</v>
      </c>
      <c r="FF31" s="92">
        <v>26456</v>
      </c>
      <c r="FG31" s="92">
        <v>34880</v>
      </c>
      <c r="FH31" s="104">
        <v>6965</v>
      </c>
      <c r="FI31" s="2"/>
      <c r="FJ31" s="4">
        <v>5</v>
      </c>
      <c r="FK31" s="92">
        <v>50105</v>
      </c>
      <c r="FL31" s="92">
        <v>42324</v>
      </c>
      <c r="FM31" s="104">
        <v>7945</v>
      </c>
      <c r="FN31" s="2"/>
      <c r="FO31" s="4">
        <v>5</v>
      </c>
      <c r="FP31" s="92">
        <v>19407</v>
      </c>
      <c r="FQ31" s="92">
        <v>26812</v>
      </c>
      <c r="FR31" s="104">
        <v>6137</v>
      </c>
      <c r="FS31" s="2"/>
      <c r="FT31" s="4">
        <v>5</v>
      </c>
      <c r="FU31" s="92">
        <v>18316</v>
      </c>
      <c r="FV31" s="92">
        <v>41275</v>
      </c>
      <c r="FW31" s="104">
        <v>6783</v>
      </c>
      <c r="FX31" s="2"/>
      <c r="FY31" s="4">
        <v>5</v>
      </c>
      <c r="FZ31" s="92">
        <v>17649</v>
      </c>
      <c r="GA31" s="92">
        <v>21666</v>
      </c>
      <c r="GB31" s="104">
        <v>5682</v>
      </c>
      <c r="GC31" s="2"/>
      <c r="GD31" s="4">
        <v>5</v>
      </c>
      <c r="GE31" s="92">
        <v>20131</v>
      </c>
      <c r="GF31" s="92">
        <v>20606</v>
      </c>
      <c r="GG31" s="104">
        <v>5035</v>
      </c>
      <c r="GH31" s="2"/>
      <c r="GI31" s="4">
        <v>5</v>
      </c>
      <c r="GJ31" s="92">
        <v>26226</v>
      </c>
      <c r="GK31" s="92">
        <v>33287</v>
      </c>
      <c r="GL31" s="104">
        <v>6185</v>
      </c>
      <c r="GM31" s="2"/>
      <c r="GN31" s="4">
        <v>5</v>
      </c>
      <c r="GO31" s="92">
        <v>40154</v>
      </c>
      <c r="GP31" s="92">
        <v>39280</v>
      </c>
      <c r="GQ31" s="104">
        <v>7940</v>
      </c>
      <c r="GR31" s="2"/>
      <c r="GS31" s="4">
        <v>5</v>
      </c>
      <c r="GT31" s="92">
        <v>16170</v>
      </c>
      <c r="GU31" s="92">
        <v>22632</v>
      </c>
      <c r="GV31" s="104">
        <v>6613</v>
      </c>
      <c r="GW31" s="2"/>
      <c r="GX31" s="4">
        <v>5</v>
      </c>
      <c r="GY31" s="96">
        <v>3593</v>
      </c>
      <c r="GZ31" s="96">
        <v>7202</v>
      </c>
      <c r="HA31" s="105">
        <v>2278</v>
      </c>
      <c r="HB31" s="2"/>
      <c r="HC31" s="4">
        <v>5</v>
      </c>
      <c r="HD31" s="92">
        <v>34379</v>
      </c>
      <c r="HE31" s="92">
        <v>30371</v>
      </c>
      <c r="HF31" s="104">
        <v>7516</v>
      </c>
      <c r="HG31" s="2"/>
      <c r="HH31" s="4">
        <v>5</v>
      </c>
      <c r="HI31" s="92">
        <v>30948</v>
      </c>
      <c r="HJ31" s="92">
        <v>27133</v>
      </c>
      <c r="HK31" s="104">
        <v>7537</v>
      </c>
      <c r="HL31" s="2"/>
      <c r="HM31" s="4">
        <v>5</v>
      </c>
      <c r="HN31" s="106"/>
      <c r="HO31" s="106"/>
      <c r="HP31" s="107"/>
      <c r="HQ31" s="2"/>
      <c r="HR31" s="4">
        <v>5</v>
      </c>
      <c r="HS31" s="92">
        <v>8819</v>
      </c>
      <c r="HT31" s="92">
        <v>12986</v>
      </c>
      <c r="HU31" s="104">
        <v>4171</v>
      </c>
    </row>
    <row r="32" spans="1:229" x14ac:dyDescent="0.25">
      <c r="A32" t="s">
        <v>22</v>
      </c>
      <c r="B32" s="4">
        <v>5</v>
      </c>
      <c r="C32" s="92">
        <v>4360</v>
      </c>
      <c r="D32" s="92">
        <v>10215</v>
      </c>
      <c r="E32" s="92">
        <v>3303</v>
      </c>
      <c r="G32" s="4">
        <v>5</v>
      </c>
      <c r="H32" s="52"/>
      <c r="I32" s="52"/>
      <c r="J32" s="52"/>
      <c r="L32" s="4">
        <v>5</v>
      </c>
      <c r="M32" s="92">
        <v>3953</v>
      </c>
      <c r="N32" s="92">
        <v>9577</v>
      </c>
      <c r="O32" s="92">
        <v>2351</v>
      </c>
      <c r="Q32" s="4">
        <v>5</v>
      </c>
      <c r="R32" s="92">
        <v>2867</v>
      </c>
      <c r="S32" s="92">
        <v>6507</v>
      </c>
      <c r="T32" s="92">
        <v>2007</v>
      </c>
      <c r="V32" s="4">
        <v>5</v>
      </c>
      <c r="W32" s="92">
        <v>4350</v>
      </c>
      <c r="X32" s="92">
        <v>12622</v>
      </c>
      <c r="Y32" s="92">
        <v>3734</v>
      </c>
      <c r="AA32" s="4">
        <v>5</v>
      </c>
      <c r="AB32" s="92">
        <v>2974</v>
      </c>
      <c r="AC32" s="92">
        <v>10257</v>
      </c>
      <c r="AD32" s="92">
        <v>3374</v>
      </c>
      <c r="AF32" s="4">
        <v>5</v>
      </c>
      <c r="AG32" s="92">
        <v>2077</v>
      </c>
      <c r="AH32" s="92">
        <v>5938</v>
      </c>
      <c r="AI32" s="92">
        <v>1924</v>
      </c>
      <c r="AK32" s="4">
        <v>5</v>
      </c>
      <c r="AL32" s="92">
        <v>5080</v>
      </c>
      <c r="AM32" s="92">
        <v>13065</v>
      </c>
      <c r="AN32" s="92">
        <v>3213</v>
      </c>
      <c r="AP32" s="4">
        <v>5</v>
      </c>
      <c r="AQ32" s="92">
        <v>4523</v>
      </c>
      <c r="AR32" s="92">
        <v>11237</v>
      </c>
      <c r="AS32" s="92">
        <v>3870</v>
      </c>
      <c r="AU32" s="4">
        <v>5</v>
      </c>
      <c r="AV32" s="92">
        <v>3912</v>
      </c>
      <c r="AW32" s="92">
        <v>13278</v>
      </c>
      <c r="AX32" s="92">
        <v>3902</v>
      </c>
      <c r="AZ32" s="4">
        <v>5</v>
      </c>
      <c r="BA32" s="92">
        <v>1875</v>
      </c>
      <c r="BB32" s="92">
        <v>5850</v>
      </c>
      <c r="BC32" s="92">
        <v>1779</v>
      </c>
      <c r="BE32" s="4">
        <v>5</v>
      </c>
      <c r="BF32" s="92">
        <v>7081</v>
      </c>
      <c r="BG32" s="92">
        <v>11770</v>
      </c>
      <c r="BH32" s="92">
        <v>3970</v>
      </c>
      <c r="BJ32" s="4">
        <v>5</v>
      </c>
      <c r="BK32" s="92">
        <v>3428</v>
      </c>
      <c r="BL32" s="92">
        <v>8947</v>
      </c>
      <c r="BM32" s="92">
        <v>2968</v>
      </c>
      <c r="BO32" s="4">
        <v>5</v>
      </c>
      <c r="BP32" s="92">
        <v>1599</v>
      </c>
      <c r="BQ32" s="92">
        <v>5792</v>
      </c>
      <c r="BR32" s="92">
        <v>1868</v>
      </c>
      <c r="BT32" s="4">
        <v>5</v>
      </c>
      <c r="BU32" s="92">
        <v>2672</v>
      </c>
      <c r="BV32" s="92">
        <v>6671</v>
      </c>
      <c r="BW32" s="92">
        <v>2087</v>
      </c>
      <c r="BZ32" t="s">
        <v>22</v>
      </c>
      <c r="CA32" s="4">
        <v>6</v>
      </c>
      <c r="CB32" s="92">
        <v>9108</v>
      </c>
      <c r="CC32" s="92">
        <v>14580</v>
      </c>
      <c r="CD32" s="92">
        <v>4082</v>
      </c>
      <c r="CF32" s="4">
        <v>6</v>
      </c>
      <c r="CG32" s="92">
        <v>14312</v>
      </c>
      <c r="CH32" s="92">
        <v>16933</v>
      </c>
      <c r="CI32" s="92">
        <v>4542</v>
      </c>
      <c r="CK32" s="4">
        <v>6</v>
      </c>
      <c r="CL32" s="92">
        <v>22939</v>
      </c>
      <c r="CM32" s="92">
        <v>21144</v>
      </c>
      <c r="CN32" s="92">
        <v>6200</v>
      </c>
      <c r="CP32" s="4">
        <v>6</v>
      </c>
      <c r="CQ32" s="92">
        <v>12173</v>
      </c>
      <c r="CR32" s="92">
        <v>16041</v>
      </c>
      <c r="CS32" s="92">
        <v>4709</v>
      </c>
      <c r="CU32" s="4">
        <v>6</v>
      </c>
      <c r="CV32" s="92">
        <v>4288</v>
      </c>
      <c r="CW32" s="92">
        <v>12588</v>
      </c>
      <c r="CX32" s="92">
        <v>3536</v>
      </c>
      <c r="CZ32" s="4">
        <v>6</v>
      </c>
      <c r="DA32" s="2">
        <v>6477</v>
      </c>
      <c r="DB32" s="2">
        <v>12873</v>
      </c>
      <c r="DC32" s="2">
        <v>3215</v>
      </c>
      <c r="DE32" s="4">
        <v>6</v>
      </c>
      <c r="DF32" s="92">
        <v>9331</v>
      </c>
      <c r="DG32" s="92">
        <v>17329</v>
      </c>
      <c r="DH32" s="92">
        <v>4492</v>
      </c>
      <c r="DJ32" s="4">
        <v>6</v>
      </c>
      <c r="DK32" s="92">
        <v>21249</v>
      </c>
      <c r="DL32" s="92">
        <v>27761</v>
      </c>
      <c r="DM32" s="92">
        <v>7866</v>
      </c>
      <c r="DO32" s="4">
        <v>6</v>
      </c>
      <c r="DP32" s="92">
        <v>19596</v>
      </c>
      <c r="DQ32" s="92">
        <v>26182</v>
      </c>
      <c r="DR32" s="92">
        <v>6451</v>
      </c>
      <c r="DT32" s="4">
        <v>6</v>
      </c>
      <c r="DU32" s="92">
        <v>9896</v>
      </c>
      <c r="DV32" s="92">
        <v>17496</v>
      </c>
      <c r="DW32" s="92">
        <v>4763</v>
      </c>
      <c r="DY32" s="4">
        <v>6</v>
      </c>
      <c r="DZ32" s="92">
        <v>3173</v>
      </c>
      <c r="EA32" s="92">
        <v>6825</v>
      </c>
      <c r="EB32" s="92">
        <v>1998</v>
      </c>
      <c r="ED32" s="4">
        <v>6</v>
      </c>
      <c r="EE32" s="92">
        <v>17255</v>
      </c>
      <c r="EF32" s="92">
        <v>17866</v>
      </c>
      <c r="EG32" s="92">
        <v>5610</v>
      </c>
      <c r="EI32" s="4">
        <v>6</v>
      </c>
      <c r="EJ32" s="92">
        <v>15434</v>
      </c>
      <c r="EK32" s="92">
        <v>19560</v>
      </c>
      <c r="EL32" s="92">
        <v>4733</v>
      </c>
      <c r="EN32" s="4">
        <v>6</v>
      </c>
      <c r="EO32" s="92">
        <v>6319</v>
      </c>
      <c r="EP32" s="92">
        <v>10593</v>
      </c>
      <c r="EQ32" s="92">
        <v>3322</v>
      </c>
      <c r="ES32" s="4">
        <v>6</v>
      </c>
      <c r="ET32" s="92">
        <v>7689</v>
      </c>
      <c r="EU32" s="92">
        <v>12339</v>
      </c>
      <c r="EV32" s="92">
        <v>3301</v>
      </c>
      <c r="EY32" t="s">
        <v>22</v>
      </c>
      <c r="EZ32" s="4">
        <v>6</v>
      </c>
      <c r="FA32" s="92">
        <v>17108</v>
      </c>
      <c r="FB32" s="92">
        <v>24269</v>
      </c>
      <c r="FC32" s="104">
        <v>6049</v>
      </c>
      <c r="FD32" s="2"/>
      <c r="FE32" s="4">
        <v>6</v>
      </c>
      <c r="FF32" s="92">
        <v>20183</v>
      </c>
      <c r="FG32" s="92">
        <v>23533</v>
      </c>
      <c r="FH32" s="104">
        <v>6074</v>
      </c>
      <c r="FI32" s="2"/>
      <c r="FJ32" s="4">
        <v>6</v>
      </c>
      <c r="FK32" s="92">
        <v>42375</v>
      </c>
      <c r="FL32" s="92">
        <v>32954</v>
      </c>
      <c r="FM32" s="104">
        <v>8422</v>
      </c>
      <c r="FN32" s="2"/>
      <c r="FO32" s="4">
        <v>6</v>
      </c>
      <c r="FP32" s="92">
        <v>26005</v>
      </c>
      <c r="FQ32" s="92">
        <v>24223</v>
      </c>
      <c r="FR32" s="104">
        <v>6096</v>
      </c>
      <c r="FS32" s="2"/>
      <c r="FT32" s="4">
        <v>6</v>
      </c>
      <c r="FU32" s="106"/>
      <c r="FV32" s="106"/>
      <c r="FW32" s="107"/>
      <c r="FX32" s="2"/>
      <c r="FY32" s="4">
        <v>6</v>
      </c>
      <c r="FZ32" s="92">
        <v>11089</v>
      </c>
      <c r="GA32" s="92">
        <v>20885</v>
      </c>
      <c r="GB32" s="104">
        <v>4404</v>
      </c>
      <c r="GC32" s="2"/>
      <c r="GD32" s="4">
        <v>6</v>
      </c>
      <c r="GE32" s="92">
        <v>21620</v>
      </c>
      <c r="GF32" s="92">
        <v>24974</v>
      </c>
      <c r="GG32" s="104">
        <v>5780</v>
      </c>
      <c r="GH32" s="2"/>
      <c r="GI32" s="4">
        <v>6</v>
      </c>
      <c r="GJ32" s="92">
        <v>56507</v>
      </c>
      <c r="GK32" s="92">
        <v>57301</v>
      </c>
      <c r="GL32" s="104">
        <v>11445</v>
      </c>
      <c r="GM32" s="2"/>
      <c r="GN32" s="4">
        <v>6</v>
      </c>
      <c r="GO32" s="92">
        <v>39896</v>
      </c>
      <c r="GP32" s="92">
        <v>42569</v>
      </c>
      <c r="GQ32" s="104">
        <v>8514</v>
      </c>
      <c r="GR32" s="2"/>
      <c r="GS32" s="4">
        <v>6</v>
      </c>
      <c r="GT32" s="92">
        <v>16700</v>
      </c>
      <c r="GU32" s="92">
        <v>24912</v>
      </c>
      <c r="GV32" s="104">
        <v>7276</v>
      </c>
      <c r="GW32" s="2"/>
      <c r="GX32" s="4">
        <v>6</v>
      </c>
      <c r="GY32" s="96">
        <v>3648</v>
      </c>
      <c r="GZ32" s="96">
        <v>7374</v>
      </c>
      <c r="HA32" s="105">
        <v>2113</v>
      </c>
      <c r="HB32" s="2"/>
      <c r="HC32" s="4">
        <v>6</v>
      </c>
      <c r="HD32" s="92">
        <v>40772</v>
      </c>
      <c r="HE32" s="92">
        <v>34062</v>
      </c>
      <c r="HF32" s="104">
        <v>8424</v>
      </c>
      <c r="HG32" s="2"/>
      <c r="HH32" s="4">
        <v>6</v>
      </c>
      <c r="HI32" s="92">
        <v>34431</v>
      </c>
      <c r="HJ32" s="92">
        <v>24355</v>
      </c>
      <c r="HK32" s="104">
        <v>6619</v>
      </c>
      <c r="HL32" s="2"/>
      <c r="HM32" s="4">
        <v>6</v>
      </c>
      <c r="HN32" s="106"/>
      <c r="HO32" s="106"/>
      <c r="HP32" s="107"/>
      <c r="HQ32" s="2"/>
      <c r="HR32" s="4">
        <v>6</v>
      </c>
      <c r="HS32" s="92">
        <v>16304</v>
      </c>
      <c r="HT32" s="92">
        <v>22324</v>
      </c>
      <c r="HU32" s="104">
        <v>5245</v>
      </c>
    </row>
    <row r="33" spans="1:229" x14ac:dyDescent="0.25">
      <c r="A33" t="s">
        <v>22</v>
      </c>
      <c r="B33" s="4">
        <v>6</v>
      </c>
      <c r="C33" s="92">
        <v>4218</v>
      </c>
      <c r="D33" s="92">
        <v>10882</v>
      </c>
      <c r="E33" s="92">
        <v>4282</v>
      </c>
      <c r="G33" s="4">
        <v>6</v>
      </c>
      <c r="H33" s="52"/>
      <c r="I33" s="52"/>
      <c r="J33" s="52"/>
      <c r="L33" s="4">
        <v>6</v>
      </c>
      <c r="M33" s="92">
        <v>4542</v>
      </c>
      <c r="N33" s="92">
        <v>10651</v>
      </c>
      <c r="O33" s="92">
        <v>3380</v>
      </c>
      <c r="Q33" s="4">
        <v>6</v>
      </c>
      <c r="R33" s="92">
        <v>3142</v>
      </c>
      <c r="S33" s="92">
        <v>8904</v>
      </c>
      <c r="T33" s="92">
        <v>2712</v>
      </c>
      <c r="V33" s="4">
        <v>6</v>
      </c>
      <c r="W33" s="92">
        <v>3530</v>
      </c>
      <c r="X33" s="92">
        <v>10809</v>
      </c>
      <c r="Y33" s="92">
        <v>3036</v>
      </c>
      <c r="AA33" s="4">
        <v>6</v>
      </c>
      <c r="AB33" s="92">
        <v>3464</v>
      </c>
      <c r="AC33" s="92">
        <v>9619</v>
      </c>
      <c r="AD33" s="92">
        <v>2363</v>
      </c>
      <c r="AF33" s="4">
        <v>6</v>
      </c>
      <c r="AG33" s="92">
        <v>3231</v>
      </c>
      <c r="AH33" s="92">
        <v>8445</v>
      </c>
      <c r="AI33" s="92">
        <v>2182</v>
      </c>
      <c r="AK33" s="4">
        <v>6</v>
      </c>
      <c r="AL33" s="92">
        <v>5808</v>
      </c>
      <c r="AM33" s="92">
        <v>13676</v>
      </c>
      <c r="AN33" s="92">
        <v>5270</v>
      </c>
      <c r="AP33" s="4">
        <v>6</v>
      </c>
      <c r="AQ33" s="92">
        <v>5614</v>
      </c>
      <c r="AR33" s="92">
        <v>9879</v>
      </c>
      <c r="AS33" s="92">
        <v>2972</v>
      </c>
      <c r="AU33" s="4">
        <v>6</v>
      </c>
      <c r="AV33" s="92">
        <v>3264</v>
      </c>
      <c r="AW33" s="92">
        <v>11910</v>
      </c>
      <c r="AX33" s="92">
        <v>3033</v>
      </c>
      <c r="AZ33" s="4">
        <v>6</v>
      </c>
      <c r="BA33" s="92">
        <v>3585</v>
      </c>
      <c r="BB33" s="92">
        <v>8584</v>
      </c>
      <c r="BC33" s="92">
        <v>2388</v>
      </c>
      <c r="BE33" s="4">
        <v>6</v>
      </c>
      <c r="BF33" s="92">
        <v>5892</v>
      </c>
      <c r="BG33" s="92">
        <v>11559</v>
      </c>
      <c r="BH33" s="92">
        <v>4179</v>
      </c>
      <c r="BJ33" s="4">
        <v>6</v>
      </c>
      <c r="BK33" s="92">
        <v>4012</v>
      </c>
      <c r="BL33" s="92">
        <v>9466</v>
      </c>
      <c r="BM33" s="92">
        <v>2513</v>
      </c>
      <c r="BO33" s="4">
        <v>6</v>
      </c>
      <c r="BP33" s="92">
        <v>1886</v>
      </c>
      <c r="BQ33" s="92">
        <v>5661</v>
      </c>
      <c r="BR33" s="92">
        <v>1986</v>
      </c>
      <c r="BT33" s="4">
        <v>6</v>
      </c>
      <c r="BU33" s="92">
        <v>2315</v>
      </c>
      <c r="BV33" s="92">
        <v>6446</v>
      </c>
      <c r="BW33" s="92">
        <v>2213</v>
      </c>
      <c r="BZ33" t="s">
        <v>22</v>
      </c>
      <c r="CA33" s="4">
        <v>7</v>
      </c>
      <c r="CB33" s="92">
        <v>4104</v>
      </c>
      <c r="CC33" s="92">
        <v>8185</v>
      </c>
      <c r="CD33" s="92">
        <v>2802</v>
      </c>
      <c r="CF33" s="4">
        <v>7</v>
      </c>
      <c r="CG33" s="92">
        <v>9750</v>
      </c>
      <c r="CH33" s="92">
        <v>17524</v>
      </c>
      <c r="CI33" s="92">
        <v>4326</v>
      </c>
      <c r="CK33" s="4">
        <v>7</v>
      </c>
      <c r="CL33" s="92">
        <v>19566</v>
      </c>
      <c r="CM33" s="92">
        <v>22155</v>
      </c>
      <c r="CN33" s="92">
        <v>6931</v>
      </c>
      <c r="CP33" s="4">
        <v>7</v>
      </c>
      <c r="CQ33" s="92">
        <v>10940</v>
      </c>
      <c r="CR33" s="92">
        <v>14574</v>
      </c>
      <c r="CS33" s="92">
        <v>4641</v>
      </c>
      <c r="CU33" s="4">
        <v>7</v>
      </c>
      <c r="CV33" s="92">
        <v>7453</v>
      </c>
      <c r="CW33" s="92">
        <v>14829</v>
      </c>
      <c r="CX33" s="92">
        <v>4282</v>
      </c>
      <c r="CZ33" s="4">
        <v>7</v>
      </c>
      <c r="DA33" s="2">
        <v>7610</v>
      </c>
      <c r="DB33" s="2">
        <v>14334</v>
      </c>
      <c r="DC33" s="2">
        <v>4238</v>
      </c>
      <c r="DE33" s="4">
        <v>7</v>
      </c>
      <c r="DF33" s="92">
        <v>11427</v>
      </c>
      <c r="DG33" s="92">
        <v>14657</v>
      </c>
      <c r="DH33" s="92">
        <v>4469</v>
      </c>
      <c r="DJ33" s="4">
        <v>7</v>
      </c>
      <c r="DK33" s="92">
        <v>24680</v>
      </c>
      <c r="DL33" s="92">
        <v>30669</v>
      </c>
      <c r="DM33" s="92">
        <v>6294</v>
      </c>
      <c r="DO33" s="4">
        <v>7</v>
      </c>
      <c r="DP33" s="92">
        <v>15565</v>
      </c>
      <c r="DQ33" s="92">
        <v>17113</v>
      </c>
      <c r="DR33" s="92">
        <v>5539</v>
      </c>
      <c r="DT33" s="4">
        <v>7</v>
      </c>
      <c r="DU33" s="92">
        <v>7980</v>
      </c>
      <c r="DV33" s="92">
        <v>13828</v>
      </c>
      <c r="DW33" s="92">
        <v>3429</v>
      </c>
      <c r="DY33" s="4">
        <v>7</v>
      </c>
      <c r="DZ33" s="92">
        <v>6746</v>
      </c>
      <c r="EA33" s="92">
        <v>10717</v>
      </c>
      <c r="EB33" s="92">
        <v>3021</v>
      </c>
      <c r="ED33" s="4">
        <v>7</v>
      </c>
      <c r="EE33" s="92">
        <v>15963</v>
      </c>
      <c r="EF33" s="92">
        <v>20163</v>
      </c>
      <c r="EG33" s="92">
        <v>5756</v>
      </c>
      <c r="EI33" s="4">
        <v>7</v>
      </c>
      <c r="EJ33" s="92">
        <v>15790</v>
      </c>
      <c r="EK33" s="92">
        <v>18198</v>
      </c>
      <c r="EL33" s="92">
        <v>5197</v>
      </c>
      <c r="EN33" s="4">
        <v>7</v>
      </c>
      <c r="EO33" s="97"/>
      <c r="EP33" s="97"/>
      <c r="EQ33" s="97"/>
      <c r="ES33" s="4">
        <v>7</v>
      </c>
      <c r="ET33" s="92">
        <v>17684</v>
      </c>
      <c r="EU33" s="92">
        <v>21027</v>
      </c>
      <c r="EV33" s="92">
        <v>5169</v>
      </c>
      <c r="EY33" t="s">
        <v>22</v>
      </c>
      <c r="EZ33" s="4">
        <v>7</v>
      </c>
      <c r="FA33" s="92">
        <v>6041</v>
      </c>
      <c r="FB33" s="92">
        <v>12679</v>
      </c>
      <c r="FC33" s="104">
        <v>3250</v>
      </c>
      <c r="FD33" s="2"/>
      <c r="FE33" s="4">
        <v>7</v>
      </c>
      <c r="FF33" s="92">
        <v>15304</v>
      </c>
      <c r="FG33" s="92">
        <v>21463</v>
      </c>
      <c r="FH33" s="104">
        <v>5288</v>
      </c>
      <c r="FI33" s="2"/>
      <c r="FJ33" s="4">
        <v>7</v>
      </c>
      <c r="FK33" s="92">
        <v>34567</v>
      </c>
      <c r="FL33" s="92">
        <v>31357</v>
      </c>
      <c r="FM33" s="104">
        <v>8276</v>
      </c>
      <c r="FN33" s="2"/>
      <c r="FO33" s="4">
        <v>7</v>
      </c>
      <c r="FP33" s="92">
        <v>22949</v>
      </c>
      <c r="FQ33" s="92">
        <v>30263</v>
      </c>
      <c r="FR33" s="104">
        <v>5936</v>
      </c>
      <c r="FS33" s="2"/>
      <c r="FT33" s="4">
        <v>7</v>
      </c>
      <c r="FU33" s="92">
        <v>2135</v>
      </c>
      <c r="FV33" s="92">
        <v>6583</v>
      </c>
      <c r="FW33" s="104">
        <v>1705</v>
      </c>
      <c r="FX33" s="2"/>
      <c r="FY33" s="4">
        <v>7</v>
      </c>
      <c r="FZ33" s="92">
        <v>8026</v>
      </c>
      <c r="GA33" s="92">
        <v>16846</v>
      </c>
      <c r="GB33" s="104">
        <v>3793</v>
      </c>
      <c r="GC33" s="2"/>
      <c r="GD33" s="4">
        <v>7</v>
      </c>
      <c r="GE33" s="92">
        <v>26932</v>
      </c>
      <c r="GF33" s="92">
        <v>23412</v>
      </c>
      <c r="GG33" s="104">
        <v>5949</v>
      </c>
      <c r="GH33" s="2"/>
      <c r="GI33" s="4">
        <v>7</v>
      </c>
      <c r="GJ33" s="92">
        <v>43683</v>
      </c>
      <c r="GK33" s="92">
        <v>44543</v>
      </c>
      <c r="GL33" s="104">
        <v>8153</v>
      </c>
      <c r="GM33" s="2"/>
      <c r="GN33" s="4">
        <v>7</v>
      </c>
      <c r="GO33" s="92">
        <v>41038</v>
      </c>
      <c r="GP33" s="92">
        <v>31856</v>
      </c>
      <c r="GQ33" s="104">
        <v>8200</v>
      </c>
      <c r="GR33" s="2"/>
      <c r="GS33" s="4">
        <v>7</v>
      </c>
      <c r="GT33" s="106"/>
      <c r="GU33" s="106"/>
      <c r="GV33" s="107"/>
      <c r="GW33" s="2"/>
      <c r="GX33" s="4">
        <v>7</v>
      </c>
      <c r="GY33" s="106"/>
      <c r="GZ33" s="106"/>
      <c r="HA33" s="107"/>
      <c r="HB33" s="2"/>
      <c r="HC33" s="4">
        <v>7</v>
      </c>
      <c r="HD33" s="92">
        <v>41364</v>
      </c>
      <c r="HE33" s="92">
        <v>37786</v>
      </c>
      <c r="HF33" s="104">
        <v>8079</v>
      </c>
      <c r="HG33" s="2"/>
      <c r="HH33" s="4">
        <v>7</v>
      </c>
      <c r="HI33" s="92">
        <v>35542</v>
      </c>
      <c r="HJ33" s="92">
        <v>33158</v>
      </c>
      <c r="HK33" s="104">
        <v>7618</v>
      </c>
      <c r="HL33" s="2"/>
      <c r="HM33" s="4">
        <v>7</v>
      </c>
      <c r="HP33" s="21"/>
      <c r="HR33" s="4">
        <v>7</v>
      </c>
      <c r="HS33" s="92">
        <v>29849</v>
      </c>
      <c r="HT33" s="92">
        <v>31386</v>
      </c>
      <c r="HU33" s="104">
        <v>7461</v>
      </c>
    </row>
    <row r="34" spans="1:229" x14ac:dyDescent="0.25">
      <c r="A34" t="s">
        <v>22</v>
      </c>
      <c r="B34" s="4">
        <v>7</v>
      </c>
      <c r="C34" s="92">
        <v>4705</v>
      </c>
      <c r="D34" s="92">
        <v>9976</v>
      </c>
      <c r="E34" s="92">
        <v>3219</v>
      </c>
      <c r="G34" s="4">
        <v>7</v>
      </c>
      <c r="H34" s="52"/>
      <c r="I34" s="52"/>
      <c r="J34" s="52"/>
      <c r="L34" s="4">
        <v>7</v>
      </c>
      <c r="M34" s="92">
        <v>6483</v>
      </c>
      <c r="N34" s="92">
        <v>15891</v>
      </c>
      <c r="O34" s="92">
        <v>4953</v>
      </c>
      <c r="Q34" s="4">
        <v>7</v>
      </c>
      <c r="R34" s="92">
        <v>2405</v>
      </c>
      <c r="S34" s="92">
        <v>6526</v>
      </c>
      <c r="T34" s="92">
        <v>1557</v>
      </c>
      <c r="V34" s="4">
        <v>7</v>
      </c>
      <c r="W34" s="92">
        <v>4622</v>
      </c>
      <c r="X34" s="92">
        <v>11499</v>
      </c>
      <c r="Y34" s="92">
        <v>2428</v>
      </c>
      <c r="AA34" s="4">
        <v>7</v>
      </c>
      <c r="AB34" s="92">
        <v>3834</v>
      </c>
      <c r="AC34" s="92">
        <v>12168</v>
      </c>
      <c r="AD34" s="92">
        <v>2996</v>
      </c>
      <c r="AF34" s="4">
        <v>7</v>
      </c>
      <c r="AG34" s="92">
        <v>3299</v>
      </c>
      <c r="AH34" s="92">
        <v>9283</v>
      </c>
      <c r="AI34" s="92">
        <v>2838</v>
      </c>
      <c r="AK34" s="4">
        <v>7</v>
      </c>
      <c r="AL34" s="92">
        <v>10599</v>
      </c>
      <c r="AM34" s="92">
        <v>21759</v>
      </c>
      <c r="AN34" s="92">
        <v>5146</v>
      </c>
      <c r="AP34" s="4">
        <v>7</v>
      </c>
      <c r="AQ34" s="92">
        <v>4859</v>
      </c>
      <c r="AR34" s="92">
        <v>11306</v>
      </c>
      <c r="AS34" s="92">
        <v>4165</v>
      </c>
      <c r="AU34" s="4">
        <v>7</v>
      </c>
      <c r="AV34" s="92">
        <v>3179</v>
      </c>
      <c r="AW34" s="92">
        <v>10494</v>
      </c>
      <c r="AX34" s="92">
        <v>3861</v>
      </c>
      <c r="AZ34" s="4">
        <v>7</v>
      </c>
      <c r="BA34" s="92">
        <v>1660</v>
      </c>
      <c r="BB34" s="92">
        <v>5816</v>
      </c>
      <c r="BC34" s="92">
        <v>1851</v>
      </c>
      <c r="BE34" s="4">
        <v>7</v>
      </c>
      <c r="BF34" s="92">
        <v>4914</v>
      </c>
      <c r="BG34" s="92">
        <v>12040</v>
      </c>
      <c r="BH34" s="92">
        <v>3777</v>
      </c>
      <c r="BJ34" s="4">
        <v>7</v>
      </c>
      <c r="BK34" s="92">
        <v>6275</v>
      </c>
      <c r="BL34" s="92">
        <v>12792</v>
      </c>
      <c r="BM34" s="92">
        <v>3061</v>
      </c>
      <c r="BO34" s="4">
        <v>7</v>
      </c>
      <c r="BP34" s="92">
        <v>1757</v>
      </c>
      <c r="BQ34" s="92">
        <v>5861</v>
      </c>
      <c r="BR34" s="92">
        <v>2156</v>
      </c>
      <c r="BT34" s="4">
        <v>7</v>
      </c>
      <c r="BU34" s="92">
        <v>4142</v>
      </c>
      <c r="BV34" s="92">
        <v>10703</v>
      </c>
      <c r="BW34" s="92">
        <v>3350</v>
      </c>
      <c r="BZ34" t="s">
        <v>22</v>
      </c>
      <c r="CA34" s="4">
        <v>8</v>
      </c>
      <c r="CB34" s="97"/>
      <c r="CC34" s="97"/>
      <c r="CD34" s="97"/>
      <c r="CF34" s="4">
        <v>8</v>
      </c>
      <c r="CG34" s="96">
        <v>4257</v>
      </c>
      <c r="CH34" s="96">
        <v>9409</v>
      </c>
      <c r="CI34" s="96">
        <v>3564</v>
      </c>
      <c r="CK34" s="4">
        <v>8</v>
      </c>
      <c r="CL34" s="92">
        <v>7911</v>
      </c>
      <c r="CM34" s="92">
        <v>12971</v>
      </c>
      <c r="CN34" s="92">
        <v>4183</v>
      </c>
      <c r="CP34" s="4">
        <v>8</v>
      </c>
      <c r="CQ34" s="92">
        <v>10786</v>
      </c>
      <c r="CR34" s="92">
        <v>19751</v>
      </c>
      <c r="CS34" s="92">
        <v>5034</v>
      </c>
      <c r="CU34" s="4">
        <v>8</v>
      </c>
      <c r="CV34" s="92">
        <v>5365</v>
      </c>
      <c r="CW34" s="92">
        <v>12755</v>
      </c>
      <c r="CX34" s="92">
        <v>3905</v>
      </c>
      <c r="CZ34" s="4">
        <v>8</v>
      </c>
      <c r="DA34" s="2">
        <v>22782</v>
      </c>
      <c r="DB34" s="2">
        <v>23496</v>
      </c>
      <c r="DC34" s="2">
        <v>6113</v>
      </c>
      <c r="DE34" s="4">
        <v>8</v>
      </c>
      <c r="DF34" s="92">
        <v>10969</v>
      </c>
      <c r="DG34" s="92">
        <v>18700</v>
      </c>
      <c r="DH34" s="92">
        <v>5479</v>
      </c>
      <c r="DJ34" s="4">
        <v>8</v>
      </c>
      <c r="DK34" s="92">
        <v>7768</v>
      </c>
      <c r="DL34" s="92">
        <v>13800</v>
      </c>
      <c r="DM34" s="92">
        <v>4147</v>
      </c>
      <c r="DO34" s="4">
        <v>8</v>
      </c>
      <c r="DP34" s="92">
        <v>15095</v>
      </c>
      <c r="DQ34" s="92">
        <v>20933</v>
      </c>
      <c r="DR34" s="92">
        <v>5653</v>
      </c>
      <c r="DT34" s="4">
        <v>8</v>
      </c>
      <c r="DU34" s="92">
        <v>13521</v>
      </c>
      <c r="DV34" s="92">
        <v>18003</v>
      </c>
      <c r="DW34" s="92">
        <v>5209</v>
      </c>
      <c r="DY34" s="4">
        <v>8</v>
      </c>
      <c r="ED34" s="4">
        <v>8</v>
      </c>
      <c r="EE34" s="92">
        <v>23826</v>
      </c>
      <c r="EF34" s="92">
        <v>23693</v>
      </c>
      <c r="EG34" s="92">
        <v>6552</v>
      </c>
      <c r="EI34" s="4">
        <v>8</v>
      </c>
      <c r="EJ34" s="92">
        <v>9383</v>
      </c>
      <c r="EK34" s="92">
        <v>13530</v>
      </c>
      <c r="EL34" s="92">
        <v>3719</v>
      </c>
      <c r="EN34" s="4">
        <v>8</v>
      </c>
      <c r="ES34" s="4">
        <v>8</v>
      </c>
      <c r="ET34" s="92">
        <v>7700</v>
      </c>
      <c r="EU34" s="92">
        <v>13543</v>
      </c>
      <c r="EV34" s="92">
        <v>3669</v>
      </c>
      <c r="EY34" t="s">
        <v>22</v>
      </c>
      <c r="EZ34" s="4">
        <v>8</v>
      </c>
      <c r="FA34" s="106"/>
      <c r="FB34" s="106"/>
      <c r="FC34" s="107"/>
      <c r="FD34" s="2"/>
      <c r="FE34" s="4">
        <v>8</v>
      </c>
      <c r="FF34" s="92">
        <v>5294</v>
      </c>
      <c r="FG34" s="92">
        <v>8979</v>
      </c>
      <c r="FH34" s="104">
        <v>3467</v>
      </c>
      <c r="FI34" s="2"/>
      <c r="FJ34" s="4">
        <v>8</v>
      </c>
      <c r="FK34" s="92">
        <v>15923</v>
      </c>
      <c r="FL34" s="92">
        <v>18151</v>
      </c>
      <c r="FM34" s="104">
        <v>5022</v>
      </c>
      <c r="FN34" s="2"/>
      <c r="FO34" s="4">
        <v>8</v>
      </c>
      <c r="FP34" s="92">
        <v>27080</v>
      </c>
      <c r="FQ34" s="92">
        <v>23829</v>
      </c>
      <c r="FR34" s="104">
        <v>6641</v>
      </c>
      <c r="FS34" s="2"/>
      <c r="FT34" s="4">
        <v>8</v>
      </c>
      <c r="FU34" s="106"/>
      <c r="FV34" s="106"/>
      <c r="FW34" s="107"/>
      <c r="FX34" s="2"/>
      <c r="FY34" s="4">
        <v>8</v>
      </c>
      <c r="FZ34" s="92">
        <v>15093</v>
      </c>
      <c r="GA34" s="92">
        <v>24463</v>
      </c>
      <c r="GB34" s="104">
        <v>6405</v>
      </c>
      <c r="GC34" s="2"/>
      <c r="GD34" s="4">
        <v>8</v>
      </c>
      <c r="GE34" s="92">
        <v>31736</v>
      </c>
      <c r="GF34" s="92">
        <v>28700</v>
      </c>
      <c r="GG34" s="104">
        <v>7444</v>
      </c>
      <c r="GH34" s="2"/>
      <c r="GI34" s="4">
        <v>8</v>
      </c>
      <c r="GJ34" s="106"/>
      <c r="GK34" s="106"/>
      <c r="GL34" s="107"/>
      <c r="GM34" s="2"/>
      <c r="GN34" s="4">
        <v>8</v>
      </c>
      <c r="GO34" s="92">
        <v>30799</v>
      </c>
      <c r="GP34" s="92">
        <v>36377</v>
      </c>
      <c r="GQ34" s="104">
        <v>6795</v>
      </c>
      <c r="GR34" s="2"/>
      <c r="GS34" s="4">
        <v>8</v>
      </c>
      <c r="GT34" s="92">
        <v>15923</v>
      </c>
      <c r="GU34" s="92">
        <v>20578</v>
      </c>
      <c r="GV34" s="104">
        <v>5817</v>
      </c>
      <c r="GW34" s="2"/>
      <c r="GX34" s="4">
        <v>8</v>
      </c>
      <c r="HA34" s="21"/>
      <c r="HC34" s="4">
        <v>8</v>
      </c>
      <c r="HD34" s="92">
        <v>42183</v>
      </c>
      <c r="HE34" s="92">
        <v>30946</v>
      </c>
      <c r="HF34" s="104">
        <v>8678</v>
      </c>
      <c r="HG34" s="2"/>
      <c r="HH34" s="4">
        <v>8</v>
      </c>
      <c r="HI34" s="92">
        <v>22883</v>
      </c>
      <c r="HJ34" s="92">
        <v>19592</v>
      </c>
      <c r="HK34" s="104">
        <v>5616</v>
      </c>
      <c r="HL34" s="2"/>
      <c r="HM34" s="4">
        <v>8</v>
      </c>
      <c r="HP34" s="21"/>
      <c r="HR34" s="4">
        <v>8</v>
      </c>
      <c r="HS34" s="92">
        <v>21967</v>
      </c>
      <c r="HT34" s="92">
        <v>26558</v>
      </c>
      <c r="HU34" s="104">
        <v>6852</v>
      </c>
    </row>
    <row r="35" spans="1:229" x14ac:dyDescent="0.25">
      <c r="A35" t="s">
        <v>22</v>
      </c>
      <c r="B35" s="4">
        <v>8</v>
      </c>
      <c r="C35" s="92">
        <v>2864</v>
      </c>
      <c r="D35" s="92">
        <v>8147</v>
      </c>
      <c r="E35" s="92">
        <v>2933</v>
      </c>
      <c r="G35" s="4">
        <v>8</v>
      </c>
      <c r="H35" s="52"/>
      <c r="I35" s="52"/>
      <c r="J35" s="52"/>
      <c r="L35" s="4">
        <v>8</v>
      </c>
      <c r="M35" s="92">
        <v>2612</v>
      </c>
      <c r="N35" s="92">
        <v>7923</v>
      </c>
      <c r="O35" s="92">
        <v>2738</v>
      </c>
      <c r="Q35" s="4">
        <v>8</v>
      </c>
      <c r="R35" s="92">
        <v>3302</v>
      </c>
      <c r="S35" s="92">
        <v>8809</v>
      </c>
      <c r="T35" s="92">
        <v>2917</v>
      </c>
      <c r="V35" s="4">
        <v>8</v>
      </c>
      <c r="W35" s="92">
        <v>5023</v>
      </c>
      <c r="X35" s="92">
        <v>15066</v>
      </c>
      <c r="Y35" s="92">
        <v>4234</v>
      </c>
      <c r="AA35" s="4">
        <v>8</v>
      </c>
      <c r="AB35" s="92">
        <v>4316</v>
      </c>
      <c r="AC35" s="92">
        <v>11635</v>
      </c>
      <c r="AD35" s="92">
        <v>3217</v>
      </c>
      <c r="AF35" s="4">
        <v>8</v>
      </c>
      <c r="AG35" s="92">
        <v>5238</v>
      </c>
      <c r="AH35" s="92">
        <v>12371</v>
      </c>
      <c r="AI35" s="92">
        <v>4324</v>
      </c>
      <c r="AK35" s="4">
        <v>8</v>
      </c>
      <c r="AL35" s="92">
        <v>3087</v>
      </c>
      <c r="AM35" s="92">
        <v>8013</v>
      </c>
      <c r="AN35" s="92">
        <v>2336</v>
      </c>
      <c r="AP35" s="4">
        <v>8</v>
      </c>
      <c r="AQ35" s="92">
        <v>5389</v>
      </c>
      <c r="AR35" s="92">
        <v>10267</v>
      </c>
      <c r="AS35" s="92">
        <v>3473</v>
      </c>
      <c r="AU35" s="4">
        <v>8</v>
      </c>
      <c r="AV35" s="92">
        <v>5285</v>
      </c>
      <c r="AW35" s="92">
        <v>13781</v>
      </c>
      <c r="AX35" s="92">
        <v>4100</v>
      </c>
      <c r="AZ35" s="4">
        <v>8</v>
      </c>
      <c r="BE35" s="4">
        <v>8</v>
      </c>
      <c r="BF35" s="92">
        <v>8480</v>
      </c>
      <c r="BG35" s="92">
        <v>14485</v>
      </c>
      <c r="BH35" s="92">
        <v>4714</v>
      </c>
      <c r="BJ35" s="4">
        <v>8</v>
      </c>
      <c r="BK35" s="92">
        <v>3046</v>
      </c>
      <c r="BL35" s="92">
        <v>7017</v>
      </c>
      <c r="BM35" s="92">
        <v>2019</v>
      </c>
      <c r="BO35" s="4">
        <v>8</v>
      </c>
      <c r="BT35" s="4">
        <v>8</v>
      </c>
      <c r="BU35" s="92">
        <v>3203</v>
      </c>
      <c r="BV35" s="92">
        <v>8167</v>
      </c>
      <c r="BW35" s="92">
        <v>2180</v>
      </c>
      <c r="BZ35" t="s">
        <v>22</v>
      </c>
      <c r="CA35" s="4">
        <v>9</v>
      </c>
      <c r="CB35" s="92">
        <v>9687</v>
      </c>
      <c r="CC35" s="92">
        <v>19100</v>
      </c>
      <c r="CD35" s="92">
        <v>4111</v>
      </c>
      <c r="CF35" s="4">
        <v>9</v>
      </c>
      <c r="CG35" s="92">
        <v>12455</v>
      </c>
      <c r="CH35" s="92">
        <v>17464</v>
      </c>
      <c r="CI35" s="92">
        <v>4152</v>
      </c>
      <c r="CK35" s="4">
        <v>9</v>
      </c>
      <c r="CL35" s="92">
        <v>17215</v>
      </c>
      <c r="CM35" s="92">
        <v>24649</v>
      </c>
      <c r="CN35" s="92">
        <v>5417</v>
      </c>
      <c r="CP35" s="4">
        <v>9</v>
      </c>
      <c r="CQ35" s="92">
        <v>12115</v>
      </c>
      <c r="CR35" s="92">
        <v>18086</v>
      </c>
      <c r="CS35" s="92">
        <v>5008</v>
      </c>
      <c r="CU35" s="4">
        <v>9</v>
      </c>
      <c r="CV35" s="92">
        <v>7286</v>
      </c>
      <c r="CW35" s="92">
        <v>14052</v>
      </c>
      <c r="CX35" s="92">
        <v>3581</v>
      </c>
      <c r="CZ35" s="4">
        <v>9</v>
      </c>
      <c r="DA35" s="2">
        <v>5752</v>
      </c>
      <c r="DB35" s="2">
        <v>10599</v>
      </c>
      <c r="DC35" s="2">
        <v>3448</v>
      </c>
      <c r="DE35" s="4">
        <v>9</v>
      </c>
      <c r="DF35" s="92">
        <v>11460</v>
      </c>
      <c r="DG35" s="92">
        <v>18210</v>
      </c>
      <c r="DH35" s="92">
        <v>4568</v>
      </c>
      <c r="DJ35" s="4">
        <v>9</v>
      </c>
      <c r="DK35" s="92">
        <v>9318</v>
      </c>
      <c r="DL35" s="92">
        <v>16681</v>
      </c>
      <c r="DM35" s="92">
        <v>5280</v>
      </c>
      <c r="DO35" s="4">
        <v>9</v>
      </c>
      <c r="DP35" s="92">
        <v>12917</v>
      </c>
      <c r="DQ35" s="92">
        <v>19066</v>
      </c>
      <c r="DR35" s="92">
        <v>4746</v>
      </c>
      <c r="DT35" s="4">
        <v>9</v>
      </c>
      <c r="DU35" s="92">
        <v>5440</v>
      </c>
      <c r="DV35" s="92">
        <v>12113</v>
      </c>
      <c r="DW35" s="92">
        <v>3382</v>
      </c>
      <c r="DY35" s="4">
        <v>9</v>
      </c>
      <c r="ED35" s="4">
        <v>9</v>
      </c>
      <c r="EE35" s="92">
        <v>10698</v>
      </c>
      <c r="EF35" s="92">
        <v>13069</v>
      </c>
      <c r="EG35" s="92">
        <v>4516</v>
      </c>
      <c r="EI35" s="4">
        <v>9</v>
      </c>
      <c r="EN35" s="4">
        <v>9</v>
      </c>
      <c r="ES35" s="4">
        <v>9</v>
      </c>
      <c r="ET35" s="92">
        <v>8769</v>
      </c>
      <c r="EU35" s="92">
        <v>11882</v>
      </c>
      <c r="EV35" s="92">
        <v>3283</v>
      </c>
      <c r="EY35" t="s">
        <v>22</v>
      </c>
      <c r="EZ35" s="4">
        <v>9</v>
      </c>
      <c r="FA35" s="92">
        <v>11068</v>
      </c>
      <c r="FB35" s="92">
        <v>21939</v>
      </c>
      <c r="FC35" s="104">
        <v>5053</v>
      </c>
      <c r="FD35" s="2"/>
      <c r="FE35" s="4">
        <v>9</v>
      </c>
      <c r="FF35" s="92">
        <v>18689</v>
      </c>
      <c r="FG35" s="92">
        <v>24579</v>
      </c>
      <c r="FH35" s="104">
        <v>5542</v>
      </c>
      <c r="FI35" s="2"/>
      <c r="FJ35" s="4">
        <v>9</v>
      </c>
      <c r="FK35" s="92">
        <v>39875</v>
      </c>
      <c r="FL35" s="92">
        <v>38078</v>
      </c>
      <c r="FM35" s="104">
        <v>8413</v>
      </c>
      <c r="FN35" s="2"/>
      <c r="FO35" s="4">
        <v>9</v>
      </c>
      <c r="FP35" s="92">
        <v>25279</v>
      </c>
      <c r="FQ35" s="92">
        <v>24143</v>
      </c>
      <c r="FR35" s="104">
        <v>6209</v>
      </c>
      <c r="FS35" s="2"/>
      <c r="FT35" s="4">
        <v>9</v>
      </c>
      <c r="FU35" s="106"/>
      <c r="FV35" s="106"/>
      <c r="FW35" s="107"/>
      <c r="FX35" s="2"/>
      <c r="FY35" s="4">
        <v>9</v>
      </c>
      <c r="FZ35" s="92">
        <v>6573</v>
      </c>
      <c r="GA35" s="92">
        <v>10440</v>
      </c>
      <c r="GB35" s="104">
        <v>3725</v>
      </c>
      <c r="GC35" s="2"/>
      <c r="GD35" s="4">
        <v>9</v>
      </c>
      <c r="GE35" s="92">
        <v>26791</v>
      </c>
      <c r="GF35" s="92">
        <v>28150</v>
      </c>
      <c r="GG35" s="104">
        <v>6840</v>
      </c>
      <c r="GH35" s="2"/>
      <c r="GI35" s="4">
        <v>9</v>
      </c>
      <c r="GJ35" s="92">
        <v>35404</v>
      </c>
      <c r="GK35" s="92">
        <v>42403</v>
      </c>
      <c r="GL35" s="104">
        <v>8190</v>
      </c>
      <c r="GM35" s="2"/>
      <c r="GN35" s="4">
        <v>9</v>
      </c>
      <c r="GO35" s="92">
        <v>42288</v>
      </c>
      <c r="GP35" s="92">
        <v>37892</v>
      </c>
      <c r="GQ35" s="104">
        <v>8543</v>
      </c>
      <c r="GR35" s="2"/>
      <c r="GS35" s="4">
        <v>9</v>
      </c>
      <c r="GT35" s="106"/>
      <c r="GU35" s="106"/>
      <c r="GV35" s="107"/>
      <c r="GW35" s="2"/>
      <c r="GX35" s="4">
        <v>9</v>
      </c>
      <c r="HA35" s="21"/>
      <c r="HC35" s="4">
        <v>9</v>
      </c>
      <c r="HD35" s="92">
        <v>32461</v>
      </c>
      <c r="HE35" s="92">
        <v>25947</v>
      </c>
      <c r="HF35" s="104">
        <v>7148</v>
      </c>
      <c r="HG35" s="2"/>
      <c r="HH35" s="4">
        <v>9</v>
      </c>
      <c r="HK35" s="21"/>
      <c r="HM35" s="4">
        <v>9</v>
      </c>
      <c r="HP35" s="21"/>
      <c r="HR35" s="4">
        <v>9</v>
      </c>
      <c r="HS35" s="92">
        <v>20803</v>
      </c>
      <c r="HT35" s="92">
        <v>21080</v>
      </c>
      <c r="HU35" s="104">
        <v>5910</v>
      </c>
    </row>
    <row r="36" spans="1:229" x14ac:dyDescent="0.25">
      <c r="A36" t="s">
        <v>22</v>
      </c>
      <c r="B36" s="4">
        <v>9</v>
      </c>
      <c r="C36" s="92">
        <v>2868</v>
      </c>
      <c r="D36" s="92">
        <v>7695</v>
      </c>
      <c r="E36" s="92">
        <v>2645</v>
      </c>
      <c r="G36" s="4">
        <v>9</v>
      </c>
      <c r="H36" s="52"/>
      <c r="I36" s="52"/>
      <c r="J36" s="52"/>
      <c r="L36" s="4">
        <v>9</v>
      </c>
      <c r="M36" s="92">
        <v>5387</v>
      </c>
      <c r="N36" s="92">
        <v>10325</v>
      </c>
      <c r="O36" s="92">
        <v>2662</v>
      </c>
      <c r="Q36" s="4">
        <v>9</v>
      </c>
      <c r="R36" s="92">
        <v>3459</v>
      </c>
      <c r="S36" s="92">
        <v>9505</v>
      </c>
      <c r="T36" s="92">
        <v>3293</v>
      </c>
      <c r="V36" s="4">
        <v>9</v>
      </c>
      <c r="W36" s="92">
        <v>2446</v>
      </c>
      <c r="X36" s="92">
        <v>9198</v>
      </c>
      <c r="Y36" s="92">
        <v>1891</v>
      </c>
      <c r="AA36" s="4">
        <v>9</v>
      </c>
      <c r="AB36" s="92">
        <v>3140</v>
      </c>
      <c r="AC36" s="92">
        <v>9198</v>
      </c>
      <c r="AD36" s="92">
        <v>2423</v>
      </c>
      <c r="AF36" s="4">
        <v>9</v>
      </c>
      <c r="AG36" s="92">
        <v>3094</v>
      </c>
      <c r="AH36" s="92">
        <v>8893</v>
      </c>
      <c r="AI36" s="92">
        <v>2578</v>
      </c>
      <c r="AK36" s="4">
        <v>9</v>
      </c>
      <c r="AL36" s="92">
        <v>4865</v>
      </c>
      <c r="AM36" s="92">
        <v>11736</v>
      </c>
      <c r="AN36" s="92">
        <v>3796</v>
      </c>
      <c r="AP36" s="4">
        <v>9</v>
      </c>
      <c r="AQ36" s="92">
        <v>4355</v>
      </c>
      <c r="AR36" s="92">
        <v>10199</v>
      </c>
      <c r="AS36" s="92">
        <v>3456</v>
      </c>
      <c r="AU36" s="4">
        <v>9</v>
      </c>
      <c r="AV36" s="92">
        <v>2813</v>
      </c>
      <c r="AW36" s="92">
        <v>8549</v>
      </c>
      <c r="AX36" s="92">
        <v>2380</v>
      </c>
      <c r="AZ36" s="4">
        <v>9</v>
      </c>
      <c r="BE36" s="4">
        <v>9</v>
      </c>
      <c r="BF36" s="92">
        <v>3548</v>
      </c>
      <c r="BG36" s="92">
        <v>8246</v>
      </c>
      <c r="BH36" s="92">
        <v>2569</v>
      </c>
      <c r="BJ36" s="4">
        <v>9</v>
      </c>
      <c r="BO36" s="4">
        <v>9</v>
      </c>
      <c r="BT36" s="4">
        <v>9</v>
      </c>
      <c r="BU36" s="92">
        <v>1574</v>
      </c>
      <c r="BV36" s="92">
        <v>5159</v>
      </c>
      <c r="BW36" s="92">
        <v>1526</v>
      </c>
      <c r="BZ36" t="s">
        <v>22</v>
      </c>
      <c r="CA36" s="4">
        <v>10</v>
      </c>
      <c r="CB36" s="92">
        <v>9500</v>
      </c>
      <c r="CC36" s="92">
        <v>13782</v>
      </c>
      <c r="CD36" s="92">
        <v>3664</v>
      </c>
      <c r="CF36" s="4">
        <v>10</v>
      </c>
      <c r="CG36" s="92">
        <v>8987</v>
      </c>
      <c r="CH36" s="92">
        <v>16153</v>
      </c>
      <c r="CI36" s="92">
        <v>4149</v>
      </c>
      <c r="CK36" s="4">
        <v>10</v>
      </c>
      <c r="CL36" s="92">
        <v>11473</v>
      </c>
      <c r="CM36" s="92">
        <v>14041</v>
      </c>
      <c r="CN36" s="92">
        <v>4565</v>
      </c>
      <c r="CP36" s="4">
        <v>10</v>
      </c>
      <c r="CQ36" s="92">
        <v>9370</v>
      </c>
      <c r="CR36" s="92">
        <v>16864</v>
      </c>
      <c r="CS36" s="92">
        <v>4578</v>
      </c>
      <c r="CU36" s="4">
        <v>10</v>
      </c>
      <c r="CV36" s="92">
        <v>6855</v>
      </c>
      <c r="CW36" s="92">
        <v>16509</v>
      </c>
      <c r="CX36" s="92">
        <v>4757</v>
      </c>
      <c r="CZ36" s="4">
        <v>10</v>
      </c>
      <c r="DA36" s="2">
        <v>11063</v>
      </c>
      <c r="DB36" s="2">
        <v>15460</v>
      </c>
      <c r="DC36" s="2">
        <v>4235</v>
      </c>
      <c r="DE36" s="4">
        <v>10</v>
      </c>
      <c r="DF36" s="92">
        <v>10675</v>
      </c>
      <c r="DG36" s="92">
        <v>17387</v>
      </c>
      <c r="DH36" s="92">
        <v>4705</v>
      </c>
      <c r="DJ36" s="4">
        <v>10</v>
      </c>
      <c r="DK36" s="92">
        <v>6612</v>
      </c>
      <c r="DL36" s="92">
        <v>12596</v>
      </c>
      <c r="DM36" s="92">
        <v>3413</v>
      </c>
      <c r="DO36" s="4">
        <v>10</v>
      </c>
      <c r="DP36" s="92">
        <v>16553</v>
      </c>
      <c r="DQ36" s="92">
        <v>24184</v>
      </c>
      <c r="DR36" s="92">
        <v>5950</v>
      </c>
      <c r="DT36" s="4">
        <v>10</v>
      </c>
      <c r="DU36" s="92">
        <v>11630</v>
      </c>
      <c r="DV36" s="92">
        <v>21325</v>
      </c>
      <c r="DW36" s="92">
        <v>4859</v>
      </c>
      <c r="DY36" s="4">
        <v>10</v>
      </c>
      <c r="ED36" s="4">
        <v>10</v>
      </c>
      <c r="EE36" s="92">
        <v>13207</v>
      </c>
      <c r="EF36" s="92">
        <v>15054</v>
      </c>
      <c r="EG36" s="92">
        <v>4675</v>
      </c>
      <c r="EI36" s="4">
        <v>10</v>
      </c>
      <c r="EN36" s="4">
        <v>10</v>
      </c>
      <c r="ES36" s="4">
        <v>10</v>
      </c>
      <c r="ET36" s="92">
        <v>9105</v>
      </c>
      <c r="EU36" s="92">
        <v>14952</v>
      </c>
      <c r="EV36" s="92">
        <v>4073</v>
      </c>
      <c r="EY36" t="s">
        <v>22</v>
      </c>
      <c r="EZ36" s="4">
        <v>10</v>
      </c>
      <c r="FA36" s="92">
        <v>18823</v>
      </c>
      <c r="FB36" s="92">
        <v>31051</v>
      </c>
      <c r="FC36" s="104">
        <v>6423</v>
      </c>
      <c r="FD36" s="2"/>
      <c r="FE36" s="4">
        <v>10</v>
      </c>
      <c r="FF36" s="92">
        <v>18056</v>
      </c>
      <c r="FG36" s="92">
        <v>25898</v>
      </c>
      <c r="FH36" s="104">
        <v>5751</v>
      </c>
      <c r="FI36" s="2"/>
      <c r="FJ36" s="4">
        <v>10</v>
      </c>
      <c r="FK36" s="92">
        <v>27430</v>
      </c>
      <c r="FL36" s="92">
        <v>27831</v>
      </c>
      <c r="FM36" s="104">
        <v>6611</v>
      </c>
      <c r="FN36" s="2"/>
      <c r="FO36" s="4">
        <v>10</v>
      </c>
      <c r="FP36" s="92">
        <v>18305</v>
      </c>
      <c r="FQ36" s="92">
        <v>24754</v>
      </c>
      <c r="FR36" s="104">
        <v>5699</v>
      </c>
      <c r="FS36" s="2"/>
      <c r="FT36" s="4">
        <v>10</v>
      </c>
      <c r="FU36" s="106"/>
      <c r="FV36" s="106"/>
      <c r="FW36" s="107"/>
      <c r="FX36" s="2"/>
      <c r="FY36" s="4">
        <v>10</v>
      </c>
      <c r="FZ36" s="92">
        <v>13646</v>
      </c>
      <c r="GA36" s="92">
        <v>18741</v>
      </c>
      <c r="GB36" s="104">
        <v>5279</v>
      </c>
      <c r="GC36" s="2"/>
      <c r="GD36" s="4">
        <v>10</v>
      </c>
      <c r="GE36" s="92">
        <v>24382</v>
      </c>
      <c r="GF36" s="92">
        <v>23390</v>
      </c>
      <c r="GG36" s="104">
        <v>6183</v>
      </c>
      <c r="GH36" s="2"/>
      <c r="GI36" s="4">
        <v>10</v>
      </c>
      <c r="GJ36" s="92">
        <v>11061</v>
      </c>
      <c r="GK36" s="92">
        <v>18426</v>
      </c>
      <c r="GL36" s="104">
        <v>4681</v>
      </c>
      <c r="GM36" s="2"/>
      <c r="GN36" s="4">
        <v>10</v>
      </c>
      <c r="GO36" s="92">
        <v>29922</v>
      </c>
      <c r="GP36" s="92">
        <v>26819</v>
      </c>
      <c r="GQ36" s="104">
        <v>6385</v>
      </c>
      <c r="GR36" s="2"/>
      <c r="GS36" s="4">
        <v>10</v>
      </c>
      <c r="GT36" s="106"/>
      <c r="GU36" s="106"/>
      <c r="GV36" s="107"/>
      <c r="GW36" s="2"/>
      <c r="GX36" s="4">
        <v>10</v>
      </c>
      <c r="HA36" s="21"/>
      <c r="HC36" s="4">
        <v>10</v>
      </c>
      <c r="HD36" s="92">
        <v>34317</v>
      </c>
      <c r="HE36" s="92">
        <v>27766</v>
      </c>
      <c r="HF36" s="104">
        <v>7319</v>
      </c>
      <c r="HG36" s="2"/>
      <c r="HH36" s="4">
        <v>10</v>
      </c>
      <c r="HK36" s="21"/>
      <c r="HM36" s="4">
        <v>10</v>
      </c>
      <c r="HP36" s="21"/>
      <c r="HR36" s="4">
        <v>10</v>
      </c>
      <c r="HS36" s="92">
        <v>24150</v>
      </c>
      <c r="HT36" s="92">
        <v>29405</v>
      </c>
      <c r="HU36" s="104">
        <v>6594</v>
      </c>
    </row>
    <row r="37" spans="1:229" x14ac:dyDescent="0.25">
      <c r="A37" t="s">
        <v>22</v>
      </c>
      <c r="B37" s="4">
        <v>10</v>
      </c>
      <c r="C37" s="92">
        <v>6077</v>
      </c>
      <c r="D37" s="92">
        <v>11169</v>
      </c>
      <c r="E37" s="92">
        <v>3680</v>
      </c>
      <c r="G37" s="4">
        <v>10</v>
      </c>
      <c r="H37" s="52"/>
      <c r="I37" s="52"/>
      <c r="J37" s="52"/>
      <c r="L37" s="4">
        <v>10</v>
      </c>
      <c r="M37" s="92">
        <v>3282</v>
      </c>
      <c r="N37" s="92">
        <v>8621</v>
      </c>
      <c r="O37" s="92">
        <v>3075</v>
      </c>
      <c r="Q37" s="4">
        <v>10</v>
      </c>
      <c r="R37" s="92">
        <v>3467</v>
      </c>
      <c r="S37" s="92">
        <v>9133</v>
      </c>
      <c r="T37" s="92">
        <v>3087</v>
      </c>
      <c r="V37" s="4">
        <v>10</v>
      </c>
      <c r="W37" s="92">
        <v>5917</v>
      </c>
      <c r="X37" s="92">
        <v>14140</v>
      </c>
      <c r="Y37" s="92">
        <v>4834</v>
      </c>
      <c r="AA37" s="4">
        <v>10</v>
      </c>
      <c r="AB37" s="92">
        <v>2948</v>
      </c>
      <c r="AC37" s="92">
        <v>8190</v>
      </c>
      <c r="AD37" s="92">
        <v>2576</v>
      </c>
      <c r="AF37" s="4">
        <v>10</v>
      </c>
      <c r="AG37" s="92">
        <v>3676</v>
      </c>
      <c r="AH37" s="92">
        <v>8952</v>
      </c>
      <c r="AI37" s="92">
        <v>2807</v>
      </c>
      <c r="AK37" s="4">
        <v>10</v>
      </c>
      <c r="AL37" s="92">
        <v>5036</v>
      </c>
      <c r="AM37" s="92">
        <v>14011</v>
      </c>
      <c r="AN37" s="92">
        <v>3614</v>
      </c>
      <c r="AP37" s="4">
        <v>10</v>
      </c>
      <c r="AQ37" s="92">
        <v>6344</v>
      </c>
      <c r="AR37" s="92">
        <v>13293</v>
      </c>
      <c r="AS37" s="92">
        <v>4073</v>
      </c>
      <c r="AU37" s="4">
        <v>10</v>
      </c>
      <c r="AV37" s="92">
        <v>4315</v>
      </c>
      <c r="AW37" s="92">
        <v>12089</v>
      </c>
      <c r="AX37" s="92">
        <v>3965</v>
      </c>
      <c r="AZ37" s="4">
        <v>10</v>
      </c>
      <c r="BE37" s="4">
        <v>10</v>
      </c>
      <c r="BF37" s="92">
        <v>4668</v>
      </c>
      <c r="BG37" s="92">
        <v>8675</v>
      </c>
      <c r="BH37" s="92">
        <v>2568</v>
      </c>
      <c r="BJ37" s="4">
        <v>10</v>
      </c>
      <c r="BO37" s="4">
        <v>10</v>
      </c>
      <c r="BT37" s="4">
        <v>10</v>
      </c>
      <c r="BU37" s="92">
        <v>2649</v>
      </c>
      <c r="BV37" s="92">
        <v>7057</v>
      </c>
      <c r="BW37" s="92">
        <v>2359</v>
      </c>
      <c r="BZ37" t="s">
        <v>22</v>
      </c>
      <c r="CA37" s="4">
        <v>11</v>
      </c>
      <c r="CB37" s="92">
        <v>2388</v>
      </c>
      <c r="CC37" s="92">
        <v>6421</v>
      </c>
      <c r="CD37" s="92">
        <v>2015</v>
      </c>
      <c r="CF37" s="4">
        <v>11</v>
      </c>
      <c r="CG37" s="92">
        <v>5728</v>
      </c>
      <c r="CH37" s="92">
        <v>11947</v>
      </c>
      <c r="CI37" s="92">
        <v>2961</v>
      </c>
      <c r="CK37" s="4">
        <v>11</v>
      </c>
      <c r="CL37" s="92">
        <v>8018</v>
      </c>
      <c r="CM37" s="92">
        <v>11962</v>
      </c>
      <c r="CN37" s="92">
        <v>4038</v>
      </c>
      <c r="CP37" s="4">
        <v>11</v>
      </c>
      <c r="CQ37" s="92">
        <v>8312</v>
      </c>
      <c r="CR37" s="92">
        <v>12458</v>
      </c>
      <c r="CS37" s="92">
        <v>3946</v>
      </c>
      <c r="CU37" s="4">
        <v>11</v>
      </c>
      <c r="CV37" s="92">
        <v>9276</v>
      </c>
      <c r="CW37" s="92">
        <v>16301</v>
      </c>
      <c r="CX37" s="92">
        <v>3487</v>
      </c>
      <c r="CZ37" s="4">
        <v>11</v>
      </c>
      <c r="DA37" s="2">
        <v>10254</v>
      </c>
      <c r="DB37" s="2">
        <v>14964</v>
      </c>
      <c r="DC37" s="2">
        <v>3939</v>
      </c>
      <c r="DE37" s="4">
        <v>11</v>
      </c>
      <c r="DF37" s="92">
        <v>7412</v>
      </c>
      <c r="DG37" s="92">
        <v>14496</v>
      </c>
      <c r="DH37" s="92">
        <v>4217</v>
      </c>
      <c r="DJ37" s="4">
        <v>11</v>
      </c>
      <c r="DK37" s="92">
        <v>10878</v>
      </c>
      <c r="DL37" s="92">
        <v>14812</v>
      </c>
      <c r="DM37" s="92">
        <v>4254</v>
      </c>
      <c r="DO37" s="4">
        <v>11</v>
      </c>
      <c r="DP37" s="92">
        <v>9747</v>
      </c>
      <c r="DQ37" s="92">
        <v>16110</v>
      </c>
      <c r="DR37" s="92">
        <v>4309</v>
      </c>
      <c r="DT37" s="4">
        <v>11</v>
      </c>
      <c r="DU37" s="97"/>
      <c r="DV37" s="97"/>
      <c r="DW37" s="97"/>
      <c r="DY37" s="4">
        <v>11</v>
      </c>
      <c r="ED37" s="4">
        <v>11</v>
      </c>
      <c r="EE37" s="92">
        <v>24831</v>
      </c>
      <c r="EF37" s="92">
        <v>23753</v>
      </c>
      <c r="EG37" s="92">
        <v>6504</v>
      </c>
      <c r="EI37" s="4">
        <v>11</v>
      </c>
      <c r="EN37" s="4">
        <v>11</v>
      </c>
      <c r="ES37" s="4">
        <v>11</v>
      </c>
      <c r="ET37" s="92">
        <v>13246</v>
      </c>
      <c r="EU37" s="92">
        <v>17238</v>
      </c>
      <c r="EV37" s="92">
        <v>4604</v>
      </c>
      <c r="EY37" t="s">
        <v>22</v>
      </c>
      <c r="EZ37" s="4">
        <v>11</v>
      </c>
      <c r="FA37" s="106"/>
      <c r="FB37" s="106"/>
      <c r="FC37" s="107"/>
      <c r="FD37" s="2"/>
      <c r="FE37" s="4">
        <v>11</v>
      </c>
      <c r="FF37" s="92">
        <v>14143</v>
      </c>
      <c r="FG37" s="92">
        <v>19947</v>
      </c>
      <c r="FH37" s="104">
        <v>5264</v>
      </c>
      <c r="FI37" s="2"/>
      <c r="FJ37" s="4">
        <v>11</v>
      </c>
      <c r="FK37" s="92">
        <v>17510</v>
      </c>
      <c r="FL37" s="92">
        <v>22180</v>
      </c>
      <c r="FM37" s="104">
        <v>5731</v>
      </c>
      <c r="FN37" s="2"/>
      <c r="FO37" s="4">
        <v>11</v>
      </c>
      <c r="FP37" s="92">
        <v>16019</v>
      </c>
      <c r="FQ37" s="92">
        <v>24210</v>
      </c>
      <c r="FR37" s="104">
        <v>5133</v>
      </c>
      <c r="FS37" s="2"/>
      <c r="FT37" s="4">
        <v>11</v>
      </c>
      <c r="FU37" s="106"/>
      <c r="FV37" s="106"/>
      <c r="FW37" s="107"/>
      <c r="FX37" s="2"/>
      <c r="FY37" s="4">
        <v>11</v>
      </c>
      <c r="FZ37" s="92">
        <v>21451</v>
      </c>
      <c r="GA37" s="92">
        <v>23511</v>
      </c>
      <c r="GB37" s="104">
        <v>5788</v>
      </c>
      <c r="GC37" s="2"/>
      <c r="GD37" s="4">
        <v>11</v>
      </c>
      <c r="GE37" s="92">
        <v>8259</v>
      </c>
      <c r="GF37" s="92">
        <v>14477</v>
      </c>
      <c r="GG37" s="104">
        <v>3721</v>
      </c>
      <c r="GH37" s="2"/>
      <c r="GI37" s="4">
        <v>11</v>
      </c>
      <c r="GJ37" s="92">
        <v>30948</v>
      </c>
      <c r="GK37" s="92">
        <v>32108</v>
      </c>
      <c r="GL37" s="104">
        <v>6315</v>
      </c>
      <c r="GM37" s="2"/>
      <c r="GN37" s="4">
        <v>11</v>
      </c>
      <c r="GO37" s="92">
        <v>28876</v>
      </c>
      <c r="GP37" s="92">
        <v>27805</v>
      </c>
      <c r="GQ37" s="104">
        <v>6766</v>
      </c>
      <c r="GR37" s="2"/>
      <c r="GS37" s="4">
        <v>11</v>
      </c>
      <c r="GT37" s="97"/>
      <c r="GU37" s="97"/>
      <c r="GV37" s="110"/>
      <c r="GX37" s="4">
        <v>11</v>
      </c>
      <c r="HA37" s="21"/>
      <c r="HC37" s="4">
        <v>11</v>
      </c>
      <c r="HD37" s="92">
        <v>47425</v>
      </c>
      <c r="HE37" s="92">
        <v>35524</v>
      </c>
      <c r="HF37" s="104">
        <v>8795</v>
      </c>
      <c r="HG37" s="2"/>
      <c r="HH37" s="4">
        <v>11</v>
      </c>
      <c r="HK37" s="21"/>
      <c r="HM37" s="4">
        <v>11</v>
      </c>
      <c r="HP37" s="21"/>
      <c r="HR37" s="4">
        <v>11</v>
      </c>
      <c r="HS37" s="92">
        <v>26769</v>
      </c>
      <c r="HT37" s="92">
        <v>31968</v>
      </c>
      <c r="HU37" s="104">
        <v>6438</v>
      </c>
    </row>
    <row r="38" spans="1:229" x14ac:dyDescent="0.25">
      <c r="A38" t="s">
        <v>22</v>
      </c>
      <c r="B38" s="4">
        <v>11</v>
      </c>
      <c r="C38" s="92">
        <v>4014</v>
      </c>
      <c r="D38" s="92">
        <v>8817</v>
      </c>
      <c r="E38" s="92">
        <v>2745</v>
      </c>
      <c r="G38" s="4">
        <v>11</v>
      </c>
      <c r="H38" s="52"/>
      <c r="I38" s="52"/>
      <c r="J38" s="52"/>
      <c r="L38" s="4">
        <v>11</v>
      </c>
      <c r="M38" s="92">
        <v>2844</v>
      </c>
      <c r="N38" s="92">
        <v>7815</v>
      </c>
      <c r="O38" s="92">
        <v>2459</v>
      </c>
      <c r="Q38" s="4">
        <v>11</v>
      </c>
      <c r="R38" s="92">
        <v>1820</v>
      </c>
      <c r="S38" s="92">
        <v>5605</v>
      </c>
      <c r="T38" s="92">
        <v>1866</v>
      </c>
      <c r="V38" s="4">
        <v>11</v>
      </c>
      <c r="W38" s="92">
        <v>3880</v>
      </c>
      <c r="X38" s="92">
        <v>13201</v>
      </c>
      <c r="Y38" s="92">
        <v>3799</v>
      </c>
      <c r="AA38" s="4">
        <v>11</v>
      </c>
      <c r="AB38" s="92">
        <v>1447</v>
      </c>
      <c r="AC38" s="92">
        <v>4567</v>
      </c>
      <c r="AD38" s="92">
        <v>1438</v>
      </c>
      <c r="AF38" s="4">
        <v>11</v>
      </c>
      <c r="AG38" s="92">
        <v>3631</v>
      </c>
      <c r="AH38" s="92">
        <v>11517</v>
      </c>
      <c r="AI38" s="92">
        <v>3364</v>
      </c>
      <c r="AK38" s="4">
        <v>11</v>
      </c>
      <c r="AL38" s="92">
        <v>4683</v>
      </c>
      <c r="AM38" s="92">
        <v>11331</v>
      </c>
      <c r="AN38" s="92">
        <v>3833</v>
      </c>
      <c r="AP38" s="4">
        <v>11</v>
      </c>
      <c r="AQ38" s="92">
        <v>1950</v>
      </c>
      <c r="AR38" s="92">
        <v>5847</v>
      </c>
      <c r="AS38" s="92">
        <v>1861</v>
      </c>
      <c r="AU38" s="4">
        <v>11</v>
      </c>
      <c r="AV38" s="92">
        <v>2613</v>
      </c>
      <c r="AW38" s="92">
        <v>9597</v>
      </c>
      <c r="AX38" s="92">
        <v>3507</v>
      </c>
      <c r="AZ38" s="4">
        <v>11</v>
      </c>
      <c r="BE38" s="4">
        <v>11</v>
      </c>
      <c r="BF38" s="92">
        <v>9760</v>
      </c>
      <c r="BG38" s="92">
        <v>16570</v>
      </c>
      <c r="BH38" s="92">
        <v>5628</v>
      </c>
      <c r="BJ38" s="4">
        <v>11</v>
      </c>
      <c r="BO38" s="4">
        <v>11</v>
      </c>
      <c r="BT38" s="4">
        <v>11</v>
      </c>
      <c r="BU38" s="92">
        <v>2417</v>
      </c>
      <c r="BV38" s="92">
        <v>6500</v>
      </c>
      <c r="BW38" s="92">
        <v>2052</v>
      </c>
      <c r="BZ38" t="s">
        <v>22</v>
      </c>
      <c r="CA38" s="4">
        <v>12</v>
      </c>
      <c r="CB38" s="96">
        <v>9171</v>
      </c>
      <c r="CC38" s="96">
        <v>13170</v>
      </c>
      <c r="CD38" s="96">
        <v>4084</v>
      </c>
      <c r="CF38" s="4">
        <v>12</v>
      </c>
      <c r="CG38" s="92">
        <v>6668</v>
      </c>
      <c r="CH38" s="92">
        <v>11501</v>
      </c>
      <c r="CI38" s="92">
        <v>3290</v>
      </c>
      <c r="CK38" s="4">
        <v>12</v>
      </c>
      <c r="CL38" s="92">
        <v>19724</v>
      </c>
      <c r="CM38" s="92">
        <v>23319</v>
      </c>
      <c r="CN38" s="92">
        <v>5995</v>
      </c>
      <c r="CP38" s="4">
        <v>12</v>
      </c>
      <c r="CQ38" s="92">
        <v>7118</v>
      </c>
      <c r="CR38" s="92">
        <v>14772</v>
      </c>
      <c r="CS38" s="92">
        <v>4042</v>
      </c>
      <c r="CU38" s="4">
        <v>12</v>
      </c>
      <c r="CV38" s="92">
        <v>10812</v>
      </c>
      <c r="CW38" s="92">
        <v>21754</v>
      </c>
      <c r="CX38" s="92">
        <v>5525</v>
      </c>
      <c r="CZ38" s="4">
        <v>12</v>
      </c>
      <c r="DA38" s="2">
        <v>5902</v>
      </c>
      <c r="DB38" s="2">
        <v>13276</v>
      </c>
      <c r="DC38" s="2">
        <v>3301</v>
      </c>
      <c r="DE38" s="4">
        <v>12</v>
      </c>
      <c r="DF38" s="92">
        <v>12831</v>
      </c>
      <c r="DG38" s="92">
        <v>19562</v>
      </c>
      <c r="DH38" s="92">
        <v>4866</v>
      </c>
      <c r="DJ38" s="4">
        <v>12</v>
      </c>
      <c r="DK38" s="92">
        <v>10517</v>
      </c>
      <c r="DL38" s="92">
        <v>16076</v>
      </c>
      <c r="DM38" s="92">
        <v>4104</v>
      </c>
      <c r="DO38" s="4">
        <v>12</v>
      </c>
      <c r="DP38" s="92">
        <v>9386</v>
      </c>
      <c r="DQ38" s="92">
        <v>14158</v>
      </c>
      <c r="DR38" s="92">
        <v>4035</v>
      </c>
      <c r="DT38" s="4">
        <v>12</v>
      </c>
      <c r="DU38" s="92">
        <v>8856</v>
      </c>
      <c r="DV38" s="92">
        <v>17780</v>
      </c>
      <c r="DW38" s="92">
        <v>4935</v>
      </c>
      <c r="DY38" s="4">
        <v>12</v>
      </c>
      <c r="ED38" s="4">
        <v>12</v>
      </c>
      <c r="EE38" s="92">
        <v>11002</v>
      </c>
      <c r="EF38" s="92">
        <v>12965</v>
      </c>
      <c r="EG38" s="92">
        <v>4240</v>
      </c>
      <c r="EI38" s="4">
        <v>12</v>
      </c>
      <c r="EN38" s="4">
        <v>12</v>
      </c>
      <c r="ES38" s="4">
        <v>12</v>
      </c>
      <c r="ET38" s="92">
        <v>7023</v>
      </c>
      <c r="EU38" s="92">
        <v>12235</v>
      </c>
      <c r="EV38" s="92">
        <v>3312</v>
      </c>
      <c r="EY38" t="s">
        <v>22</v>
      </c>
      <c r="EZ38" s="4">
        <v>12</v>
      </c>
      <c r="FA38" s="106"/>
      <c r="FB38" s="106"/>
      <c r="FC38" s="107"/>
      <c r="FD38" s="2"/>
      <c r="FE38" s="4">
        <v>12</v>
      </c>
      <c r="FF38" s="92">
        <v>17837</v>
      </c>
      <c r="FG38" s="92">
        <v>24882</v>
      </c>
      <c r="FH38" s="104">
        <v>5528</v>
      </c>
      <c r="FI38" s="2"/>
      <c r="FJ38" s="4">
        <v>12</v>
      </c>
      <c r="FK38" s="92">
        <v>37584</v>
      </c>
      <c r="FL38" s="92">
        <v>43078</v>
      </c>
      <c r="FM38" s="104">
        <v>8784</v>
      </c>
      <c r="FN38" s="2"/>
      <c r="FO38" s="4">
        <v>12</v>
      </c>
      <c r="FP38" s="92">
        <v>21658</v>
      </c>
      <c r="FQ38" s="92">
        <v>24811</v>
      </c>
      <c r="FR38" s="104">
        <v>6423</v>
      </c>
      <c r="FS38" s="2"/>
      <c r="FT38" s="4">
        <v>12</v>
      </c>
      <c r="FU38" s="92">
        <v>11665</v>
      </c>
      <c r="FV38" s="92">
        <v>23837</v>
      </c>
      <c r="FW38" s="104">
        <v>5374</v>
      </c>
      <c r="FX38" s="2"/>
      <c r="FY38" s="4">
        <v>12</v>
      </c>
      <c r="FZ38" s="92">
        <v>11510</v>
      </c>
      <c r="GA38" s="92">
        <v>16606</v>
      </c>
      <c r="GB38" s="104">
        <v>4817</v>
      </c>
      <c r="GC38" s="2"/>
      <c r="GD38" s="4">
        <v>12</v>
      </c>
      <c r="GE38" s="92">
        <v>32725</v>
      </c>
      <c r="GF38" s="92">
        <v>33996</v>
      </c>
      <c r="GG38" s="104">
        <v>7277</v>
      </c>
      <c r="GH38" s="2"/>
      <c r="GI38" s="4">
        <v>12</v>
      </c>
      <c r="GJ38" s="92">
        <v>36115</v>
      </c>
      <c r="GK38" s="92">
        <v>31739</v>
      </c>
      <c r="GL38" s="104">
        <v>7415</v>
      </c>
      <c r="GM38" s="2"/>
      <c r="GN38" s="4">
        <v>12</v>
      </c>
      <c r="GO38" s="92">
        <v>25921</v>
      </c>
      <c r="GP38" s="92">
        <v>29484</v>
      </c>
      <c r="GQ38" s="104">
        <v>6357</v>
      </c>
      <c r="GR38" s="2"/>
      <c r="GS38" s="4">
        <v>12</v>
      </c>
      <c r="GT38" s="106"/>
      <c r="GU38" s="106"/>
      <c r="GV38" s="107"/>
      <c r="GW38" s="2"/>
      <c r="GX38" s="4">
        <v>12</v>
      </c>
      <c r="HA38" s="21"/>
      <c r="HC38" s="4">
        <v>12</v>
      </c>
      <c r="HD38" s="92">
        <v>30275</v>
      </c>
      <c r="HE38" s="92">
        <v>27385</v>
      </c>
      <c r="HF38" s="104">
        <v>6961</v>
      </c>
      <c r="HG38" s="2"/>
      <c r="HH38" s="4">
        <v>12</v>
      </c>
      <c r="HK38" s="21"/>
      <c r="HM38" s="4">
        <v>12</v>
      </c>
      <c r="HP38" s="21"/>
      <c r="HR38" s="4">
        <v>12</v>
      </c>
      <c r="HS38" s="106"/>
      <c r="HT38" s="106"/>
      <c r="HU38" s="107"/>
    </row>
    <row r="39" spans="1:229" x14ac:dyDescent="0.25">
      <c r="A39" t="s">
        <v>22</v>
      </c>
      <c r="B39" s="4">
        <v>12</v>
      </c>
      <c r="C39" s="92">
        <v>1486</v>
      </c>
      <c r="D39" s="92">
        <v>5043</v>
      </c>
      <c r="E39" s="92">
        <v>1523</v>
      </c>
      <c r="G39" s="4">
        <v>12</v>
      </c>
      <c r="H39" s="52"/>
      <c r="I39" s="52"/>
      <c r="J39" s="52"/>
      <c r="L39" s="4">
        <v>12</v>
      </c>
      <c r="M39" s="92">
        <v>5770</v>
      </c>
      <c r="N39" s="92">
        <v>14460</v>
      </c>
      <c r="O39" s="92">
        <v>3007</v>
      </c>
      <c r="Q39" s="4">
        <v>12</v>
      </c>
      <c r="R39" s="92">
        <v>1512</v>
      </c>
      <c r="S39" s="92">
        <v>5704</v>
      </c>
      <c r="T39" s="92">
        <v>2080</v>
      </c>
      <c r="V39" s="4">
        <v>12</v>
      </c>
      <c r="W39" s="92">
        <v>6621</v>
      </c>
      <c r="X39" s="92">
        <v>20662</v>
      </c>
      <c r="Y39" s="92">
        <v>4701</v>
      </c>
      <c r="AA39" s="4">
        <v>12</v>
      </c>
      <c r="AB39" s="92">
        <v>1998</v>
      </c>
      <c r="AC39" s="92">
        <v>6850</v>
      </c>
      <c r="AD39" s="92">
        <v>2143</v>
      </c>
      <c r="AF39" s="4">
        <v>12</v>
      </c>
      <c r="AG39" s="92">
        <v>6872</v>
      </c>
      <c r="AH39" s="92">
        <v>14031</v>
      </c>
      <c r="AI39" s="92">
        <v>3366</v>
      </c>
      <c r="AK39" s="4">
        <v>12</v>
      </c>
      <c r="AL39" s="92">
        <v>2833</v>
      </c>
      <c r="AM39" s="92">
        <v>7523</v>
      </c>
      <c r="AN39" s="92">
        <v>2796</v>
      </c>
      <c r="AP39" s="4">
        <v>12</v>
      </c>
      <c r="AQ39" s="92">
        <v>3111</v>
      </c>
      <c r="AR39" s="92">
        <v>8465</v>
      </c>
      <c r="AS39" s="92">
        <v>2818</v>
      </c>
      <c r="AU39" s="4">
        <v>12</v>
      </c>
      <c r="AV39" s="92">
        <v>3113</v>
      </c>
      <c r="AW39" s="92">
        <v>9309</v>
      </c>
      <c r="AX39" s="92">
        <v>3737</v>
      </c>
      <c r="AZ39" s="4">
        <v>12</v>
      </c>
      <c r="BE39" s="4">
        <v>12</v>
      </c>
      <c r="BF39" s="92">
        <v>3657</v>
      </c>
      <c r="BG39" s="92">
        <v>8533</v>
      </c>
      <c r="BH39" s="92">
        <v>3157</v>
      </c>
      <c r="BJ39" s="4">
        <v>12</v>
      </c>
      <c r="BO39" s="4">
        <v>12</v>
      </c>
      <c r="BT39" s="4">
        <v>12</v>
      </c>
      <c r="BU39" s="92">
        <v>2529</v>
      </c>
      <c r="BV39" s="92">
        <v>6828</v>
      </c>
      <c r="BW39" s="92">
        <v>2069</v>
      </c>
      <c r="BZ39" t="s">
        <v>22</v>
      </c>
      <c r="CA39" s="4">
        <v>13</v>
      </c>
      <c r="CB39" s="92">
        <v>7127</v>
      </c>
      <c r="CC39" s="92">
        <v>13099</v>
      </c>
      <c r="CD39" s="92">
        <v>3524</v>
      </c>
      <c r="CF39" s="4">
        <v>13</v>
      </c>
      <c r="CG39" s="92">
        <v>5586</v>
      </c>
      <c r="CH39" s="92">
        <v>13721</v>
      </c>
      <c r="CI39" s="92">
        <v>3703</v>
      </c>
      <c r="CK39" s="4">
        <v>13</v>
      </c>
      <c r="CL39" s="92">
        <v>14491</v>
      </c>
      <c r="CM39" s="92">
        <v>18417</v>
      </c>
      <c r="CN39" s="92">
        <v>5309</v>
      </c>
      <c r="CP39" s="4">
        <v>13</v>
      </c>
      <c r="CQ39" s="92">
        <v>10247</v>
      </c>
      <c r="CR39" s="92">
        <v>17140</v>
      </c>
      <c r="CS39" s="92">
        <v>4926</v>
      </c>
      <c r="CU39" s="4">
        <v>13</v>
      </c>
      <c r="CZ39" s="4">
        <v>13</v>
      </c>
      <c r="DA39" s="2">
        <v>13319</v>
      </c>
      <c r="DB39" s="2">
        <v>19183</v>
      </c>
      <c r="DC39" s="2">
        <v>5525</v>
      </c>
      <c r="DE39" s="4">
        <v>13</v>
      </c>
      <c r="DF39" s="92">
        <v>9744</v>
      </c>
      <c r="DG39" s="92">
        <v>16487</v>
      </c>
      <c r="DH39" s="92">
        <v>4266</v>
      </c>
      <c r="DJ39" s="4">
        <v>13</v>
      </c>
      <c r="DK39" s="92">
        <v>3692</v>
      </c>
      <c r="DL39" s="92">
        <v>8663</v>
      </c>
      <c r="DM39" s="92">
        <v>2533</v>
      </c>
      <c r="DO39" s="4">
        <v>13</v>
      </c>
      <c r="DP39" s="92">
        <v>7753</v>
      </c>
      <c r="DQ39" s="92">
        <v>12260</v>
      </c>
      <c r="DR39" s="92">
        <v>3305</v>
      </c>
      <c r="DT39" s="4">
        <v>13</v>
      </c>
      <c r="DU39" s="92">
        <v>11535</v>
      </c>
      <c r="DV39" s="92">
        <v>18578</v>
      </c>
      <c r="DW39" s="92">
        <v>5551</v>
      </c>
      <c r="DY39" s="4">
        <v>13</v>
      </c>
      <c r="ED39" s="4">
        <v>13</v>
      </c>
      <c r="EE39" s="92">
        <v>25824</v>
      </c>
      <c r="EF39" s="92">
        <v>22010</v>
      </c>
      <c r="EG39" s="92">
        <v>7790</v>
      </c>
      <c r="EI39" s="4">
        <v>13</v>
      </c>
      <c r="EN39" s="4">
        <v>13</v>
      </c>
      <c r="ES39" s="4">
        <v>13</v>
      </c>
      <c r="EY39" t="s">
        <v>22</v>
      </c>
      <c r="EZ39" s="4">
        <v>13</v>
      </c>
      <c r="FA39" s="92">
        <v>12539</v>
      </c>
      <c r="FB39" s="92">
        <v>21204</v>
      </c>
      <c r="FC39" s="104">
        <v>4554</v>
      </c>
      <c r="FD39" s="2"/>
      <c r="FE39" s="4">
        <v>13</v>
      </c>
      <c r="FF39" s="92">
        <v>6122</v>
      </c>
      <c r="FG39" s="92">
        <v>12847</v>
      </c>
      <c r="FH39" s="104">
        <v>3651</v>
      </c>
      <c r="FI39" s="2"/>
      <c r="FJ39" s="4">
        <v>13</v>
      </c>
      <c r="FK39" s="92">
        <v>27330</v>
      </c>
      <c r="FL39" s="92">
        <v>30717</v>
      </c>
      <c r="FM39" s="104">
        <v>6934</v>
      </c>
      <c r="FN39" s="2"/>
      <c r="FO39" s="4">
        <v>13</v>
      </c>
      <c r="FP39" s="92">
        <v>24688</v>
      </c>
      <c r="FQ39" s="92">
        <v>28396</v>
      </c>
      <c r="FR39" s="104">
        <v>6304</v>
      </c>
      <c r="FS39" s="2"/>
      <c r="FT39" s="4">
        <v>13</v>
      </c>
      <c r="FU39" s="92">
        <v>12530</v>
      </c>
      <c r="FV39" s="92">
        <v>23115</v>
      </c>
      <c r="FW39" s="104">
        <v>4559</v>
      </c>
      <c r="FX39" s="2"/>
      <c r="FY39" s="4">
        <v>13</v>
      </c>
      <c r="FZ39" s="106"/>
      <c r="GA39" s="106"/>
      <c r="GB39" s="107"/>
      <c r="GC39" s="2"/>
      <c r="GD39" s="4">
        <v>13</v>
      </c>
      <c r="GE39" s="92">
        <v>20539</v>
      </c>
      <c r="GF39" s="92">
        <v>23539</v>
      </c>
      <c r="GG39" s="104">
        <v>6086</v>
      </c>
      <c r="GH39" s="2"/>
      <c r="GI39" s="4">
        <v>13</v>
      </c>
      <c r="GJ39" s="92">
        <v>6130</v>
      </c>
      <c r="GK39" s="92">
        <v>12051</v>
      </c>
      <c r="GL39" s="104">
        <v>3376</v>
      </c>
      <c r="GM39" s="2"/>
      <c r="GN39" s="4">
        <v>13</v>
      </c>
      <c r="GO39" s="92">
        <v>34423</v>
      </c>
      <c r="GP39" s="92">
        <v>33656</v>
      </c>
      <c r="GQ39" s="104">
        <v>7372</v>
      </c>
      <c r="GR39" s="2"/>
      <c r="GS39" s="4">
        <v>13</v>
      </c>
      <c r="GT39" s="2"/>
      <c r="GU39" s="2"/>
      <c r="GV39" s="17"/>
      <c r="GW39" s="2"/>
      <c r="GX39" s="4">
        <v>13</v>
      </c>
      <c r="HA39" s="21"/>
      <c r="HC39" s="4">
        <v>13</v>
      </c>
      <c r="HD39" s="92">
        <v>55517</v>
      </c>
      <c r="HE39" s="92">
        <v>35344</v>
      </c>
      <c r="HF39" s="104">
        <v>10949</v>
      </c>
      <c r="HG39" s="2"/>
      <c r="HH39" s="4">
        <v>13</v>
      </c>
      <c r="HK39" s="21"/>
      <c r="HM39" s="4">
        <v>13</v>
      </c>
      <c r="HP39" s="21"/>
      <c r="HR39" s="4">
        <v>13</v>
      </c>
      <c r="HU39" s="21"/>
    </row>
    <row r="40" spans="1:229" x14ac:dyDescent="0.25">
      <c r="A40" t="s">
        <v>22</v>
      </c>
      <c r="B40" s="4">
        <v>13</v>
      </c>
      <c r="C40" s="92">
        <v>3741</v>
      </c>
      <c r="D40" s="92">
        <v>9339</v>
      </c>
      <c r="E40" s="92">
        <v>2557</v>
      </c>
      <c r="G40" s="4">
        <v>13</v>
      </c>
      <c r="H40" s="52"/>
      <c r="I40" s="52"/>
      <c r="J40" s="52"/>
      <c r="L40" s="4">
        <v>13</v>
      </c>
      <c r="M40" s="92">
        <v>3554</v>
      </c>
      <c r="N40" s="92">
        <v>10884</v>
      </c>
      <c r="O40" s="92">
        <v>3129</v>
      </c>
      <c r="Q40" s="4">
        <v>13</v>
      </c>
      <c r="R40" s="92">
        <v>3456</v>
      </c>
      <c r="S40" s="92">
        <v>8115</v>
      </c>
      <c r="T40" s="92">
        <v>2347</v>
      </c>
      <c r="V40" s="4">
        <v>13</v>
      </c>
      <c r="AA40" s="4">
        <v>13</v>
      </c>
      <c r="AB40" s="92">
        <v>2912</v>
      </c>
      <c r="AC40" s="92">
        <v>9954</v>
      </c>
      <c r="AD40" s="92">
        <v>3314</v>
      </c>
      <c r="AF40" s="4">
        <v>13</v>
      </c>
      <c r="AG40" s="92">
        <v>2129</v>
      </c>
      <c r="AH40" s="92">
        <v>6772</v>
      </c>
      <c r="AI40" s="92">
        <v>2083</v>
      </c>
      <c r="AK40" s="4">
        <v>13</v>
      </c>
      <c r="AL40" s="92">
        <v>1746</v>
      </c>
      <c r="AM40" s="92">
        <v>5422</v>
      </c>
      <c r="AN40" s="92">
        <v>1864</v>
      </c>
      <c r="AP40" s="4">
        <v>13</v>
      </c>
      <c r="AQ40" s="92">
        <v>1575</v>
      </c>
      <c r="AR40" s="92">
        <v>5719</v>
      </c>
      <c r="AS40" s="92">
        <v>2213</v>
      </c>
      <c r="AU40" s="4">
        <v>13</v>
      </c>
      <c r="AV40" s="92">
        <v>4506</v>
      </c>
      <c r="AW40" s="92">
        <v>11837</v>
      </c>
      <c r="AX40" s="92">
        <v>3826</v>
      </c>
      <c r="AZ40" s="4">
        <v>13</v>
      </c>
      <c r="BE40" s="4">
        <v>13</v>
      </c>
      <c r="BF40" s="92">
        <v>8031</v>
      </c>
      <c r="BG40" s="92">
        <v>14939</v>
      </c>
      <c r="BH40" s="92">
        <v>5648</v>
      </c>
      <c r="BJ40" s="4">
        <v>13</v>
      </c>
      <c r="BO40" s="4">
        <v>13</v>
      </c>
      <c r="BT40" s="4">
        <v>13</v>
      </c>
      <c r="BZ40" t="s">
        <v>22</v>
      </c>
      <c r="CA40" s="4">
        <v>14</v>
      </c>
      <c r="CB40" s="92">
        <v>7525</v>
      </c>
      <c r="CC40" s="92">
        <v>13432</v>
      </c>
      <c r="CD40" s="92">
        <v>3753</v>
      </c>
      <c r="CF40" s="4">
        <v>14</v>
      </c>
      <c r="CG40" s="92">
        <v>5393</v>
      </c>
      <c r="CH40" s="92">
        <v>11601</v>
      </c>
      <c r="CI40" s="92">
        <v>3424</v>
      </c>
      <c r="CK40" s="4">
        <v>14</v>
      </c>
      <c r="CL40" s="92">
        <v>7677</v>
      </c>
      <c r="CM40" s="92">
        <v>11954</v>
      </c>
      <c r="CN40" s="92">
        <v>3257</v>
      </c>
      <c r="CP40" s="4">
        <v>14</v>
      </c>
      <c r="CQ40" s="92">
        <v>4241</v>
      </c>
      <c r="CR40" s="92">
        <v>11105</v>
      </c>
      <c r="CS40" s="92">
        <v>3110</v>
      </c>
      <c r="CU40" s="4">
        <v>14</v>
      </c>
      <c r="CZ40" s="4">
        <v>14</v>
      </c>
      <c r="DA40" s="43">
        <v>2906</v>
      </c>
      <c r="DB40" s="43">
        <v>6738</v>
      </c>
      <c r="DC40" s="43">
        <v>2148</v>
      </c>
      <c r="DE40" s="4">
        <v>14</v>
      </c>
      <c r="DF40" s="92">
        <v>8414</v>
      </c>
      <c r="DG40" s="92">
        <v>13298</v>
      </c>
      <c r="DH40" s="92">
        <v>3990</v>
      </c>
      <c r="DJ40" s="4">
        <v>14</v>
      </c>
      <c r="DK40" s="92">
        <v>12102</v>
      </c>
      <c r="DL40" s="92">
        <v>24122</v>
      </c>
      <c r="DM40" s="92">
        <v>5480</v>
      </c>
      <c r="DO40" s="4">
        <v>14</v>
      </c>
      <c r="DP40" s="92">
        <v>13816</v>
      </c>
      <c r="DQ40" s="92">
        <v>18503</v>
      </c>
      <c r="DR40" s="92">
        <v>4844</v>
      </c>
      <c r="DT40" s="4">
        <v>14</v>
      </c>
      <c r="DY40" s="4">
        <v>14</v>
      </c>
      <c r="ED40" s="4">
        <v>14</v>
      </c>
      <c r="EE40" s="92">
        <v>11709</v>
      </c>
      <c r="EF40" s="92">
        <v>14733</v>
      </c>
      <c r="EG40" s="92">
        <v>4510</v>
      </c>
      <c r="EI40" s="4">
        <v>14</v>
      </c>
      <c r="EN40" s="4">
        <v>14</v>
      </c>
      <c r="ES40" s="4">
        <v>14</v>
      </c>
      <c r="EY40" t="s">
        <v>22</v>
      </c>
      <c r="EZ40" s="4">
        <v>14</v>
      </c>
      <c r="FA40" s="92">
        <v>13401</v>
      </c>
      <c r="FB40" s="92">
        <v>21674</v>
      </c>
      <c r="FC40" s="104">
        <v>4560</v>
      </c>
      <c r="FD40" s="2"/>
      <c r="FE40" s="4">
        <v>14</v>
      </c>
      <c r="FF40" s="92">
        <v>4726</v>
      </c>
      <c r="FG40" s="92">
        <v>10535</v>
      </c>
      <c r="FH40" s="104">
        <v>2808</v>
      </c>
      <c r="FI40" s="2"/>
      <c r="FJ40" s="4">
        <v>14</v>
      </c>
      <c r="FK40" s="106"/>
      <c r="FL40" s="106"/>
      <c r="FM40" s="107"/>
      <c r="FN40" s="2"/>
      <c r="FO40" s="4">
        <v>14</v>
      </c>
      <c r="FP40" s="92">
        <v>10680</v>
      </c>
      <c r="FQ40" s="92">
        <v>15583</v>
      </c>
      <c r="FR40" s="104">
        <v>4583</v>
      </c>
      <c r="FS40" s="2"/>
      <c r="FT40" s="4">
        <v>14</v>
      </c>
      <c r="FU40" s="97"/>
      <c r="FV40" s="97"/>
      <c r="FW40" s="110"/>
      <c r="FY40" s="4">
        <v>14</v>
      </c>
      <c r="FZ40" s="106"/>
      <c r="GA40" s="106"/>
      <c r="GB40" s="107"/>
      <c r="GC40" s="2"/>
      <c r="GD40" s="4">
        <v>14</v>
      </c>
      <c r="GE40" s="92">
        <v>19948</v>
      </c>
      <c r="GF40" s="92">
        <v>24011</v>
      </c>
      <c r="GG40" s="104">
        <v>6036</v>
      </c>
      <c r="GH40" s="2"/>
      <c r="GI40" s="4">
        <v>14</v>
      </c>
      <c r="GJ40" s="92">
        <v>31973</v>
      </c>
      <c r="GK40" s="92">
        <v>40898</v>
      </c>
      <c r="GL40" s="104">
        <v>8619</v>
      </c>
      <c r="GM40" s="2"/>
      <c r="GN40" s="4">
        <v>14</v>
      </c>
      <c r="GO40" s="92">
        <v>43150</v>
      </c>
      <c r="GP40" s="92">
        <v>44498</v>
      </c>
      <c r="GQ40" s="104">
        <v>9504</v>
      </c>
      <c r="GR40" s="2"/>
      <c r="GS40" s="4">
        <v>14</v>
      </c>
      <c r="GV40" s="21"/>
      <c r="GX40" s="4">
        <v>14</v>
      </c>
      <c r="HA40" s="21"/>
      <c r="HC40" s="4">
        <v>14</v>
      </c>
      <c r="HD40" s="92">
        <v>33953</v>
      </c>
      <c r="HE40" s="92">
        <v>27014</v>
      </c>
      <c r="HF40" s="104">
        <v>7695</v>
      </c>
      <c r="HG40" s="2"/>
      <c r="HH40" s="4">
        <v>14</v>
      </c>
      <c r="HK40" s="21"/>
      <c r="HM40" s="4">
        <v>14</v>
      </c>
      <c r="HP40" s="21"/>
      <c r="HR40" s="4">
        <v>14</v>
      </c>
      <c r="HU40" s="21"/>
    </row>
    <row r="41" spans="1:229" x14ac:dyDescent="0.25">
      <c r="A41" t="s">
        <v>22</v>
      </c>
      <c r="B41" s="4">
        <v>14</v>
      </c>
      <c r="C41" s="92">
        <v>2629</v>
      </c>
      <c r="D41" s="92">
        <v>7253</v>
      </c>
      <c r="E41" s="92">
        <v>2575</v>
      </c>
      <c r="G41" s="4">
        <v>14</v>
      </c>
      <c r="H41" s="52"/>
      <c r="I41" s="52"/>
      <c r="J41" s="52"/>
      <c r="L41" s="4">
        <v>14</v>
      </c>
      <c r="M41" s="92">
        <v>3733</v>
      </c>
      <c r="N41" s="92">
        <v>9012</v>
      </c>
      <c r="O41" s="92">
        <v>2543</v>
      </c>
      <c r="Q41" s="4">
        <v>14</v>
      </c>
      <c r="R41" s="92">
        <v>3084</v>
      </c>
      <c r="S41" s="92">
        <v>8396</v>
      </c>
      <c r="T41" s="92">
        <v>3092</v>
      </c>
      <c r="V41" s="4">
        <v>14</v>
      </c>
      <c r="AA41" s="4">
        <v>14</v>
      </c>
      <c r="AB41" s="92">
        <v>1785</v>
      </c>
      <c r="AC41" s="92">
        <v>6542</v>
      </c>
      <c r="AD41" s="92">
        <v>1959</v>
      </c>
      <c r="AF41" s="4">
        <v>14</v>
      </c>
      <c r="AG41" s="92">
        <v>2242</v>
      </c>
      <c r="AH41" s="92">
        <v>6896</v>
      </c>
      <c r="AI41" s="92">
        <v>2570</v>
      </c>
      <c r="AK41" s="4">
        <v>14</v>
      </c>
      <c r="AL41" s="92">
        <v>6124</v>
      </c>
      <c r="AM41" s="92">
        <v>14333</v>
      </c>
      <c r="AN41" s="92">
        <v>4891</v>
      </c>
      <c r="AP41" s="4">
        <v>14</v>
      </c>
      <c r="AQ41" s="92">
        <v>3520</v>
      </c>
      <c r="AR41" s="92">
        <v>8017</v>
      </c>
      <c r="AS41" s="92">
        <v>3100</v>
      </c>
      <c r="AU41" s="4">
        <v>14</v>
      </c>
      <c r="AZ41" s="4">
        <v>14</v>
      </c>
      <c r="BE41" s="4">
        <v>14</v>
      </c>
      <c r="BF41" s="92">
        <v>3982</v>
      </c>
      <c r="BG41" s="92">
        <v>7960</v>
      </c>
      <c r="BH41" s="92">
        <v>2974</v>
      </c>
      <c r="BJ41" s="4">
        <v>14</v>
      </c>
      <c r="BO41" s="4">
        <v>14</v>
      </c>
      <c r="BT41" s="4">
        <v>14</v>
      </c>
      <c r="BZ41" t="s">
        <v>22</v>
      </c>
      <c r="CA41" s="4">
        <v>15</v>
      </c>
      <c r="CB41" s="92">
        <v>9006</v>
      </c>
      <c r="CC41" s="92">
        <v>14293</v>
      </c>
      <c r="CD41" s="92">
        <v>4041</v>
      </c>
      <c r="CF41" s="4">
        <v>15</v>
      </c>
      <c r="CG41" s="92">
        <v>5249</v>
      </c>
      <c r="CH41" s="92">
        <v>8822</v>
      </c>
      <c r="CI41" s="92">
        <v>2748</v>
      </c>
      <c r="CK41" s="4">
        <v>15</v>
      </c>
      <c r="CL41" s="92">
        <v>8962</v>
      </c>
      <c r="CM41" s="92">
        <v>15069</v>
      </c>
      <c r="CN41" s="92">
        <v>3901</v>
      </c>
      <c r="CP41" s="4">
        <v>15</v>
      </c>
      <c r="CQ41" s="92">
        <v>12546</v>
      </c>
      <c r="CR41" s="92">
        <v>17793</v>
      </c>
      <c r="CS41" s="92">
        <v>4697</v>
      </c>
      <c r="CU41" s="4">
        <v>15</v>
      </c>
      <c r="CZ41" s="4">
        <v>15</v>
      </c>
      <c r="DA41" s="2">
        <v>5827</v>
      </c>
      <c r="DB41" s="2">
        <v>11847</v>
      </c>
      <c r="DC41" s="2">
        <v>3305</v>
      </c>
      <c r="DE41" s="4">
        <v>15</v>
      </c>
      <c r="DF41" s="92">
        <v>7627</v>
      </c>
      <c r="DG41" s="92">
        <v>15380</v>
      </c>
      <c r="DH41" s="92">
        <v>3943</v>
      </c>
      <c r="DJ41" s="4">
        <v>15</v>
      </c>
      <c r="DK41" s="92">
        <v>15494</v>
      </c>
      <c r="DL41" s="92">
        <v>16379</v>
      </c>
      <c r="DM41" s="92">
        <v>5566</v>
      </c>
      <c r="DO41" s="4">
        <v>15</v>
      </c>
      <c r="DP41" s="92">
        <v>18497</v>
      </c>
      <c r="DQ41" s="92">
        <v>22162</v>
      </c>
      <c r="DR41" s="92">
        <v>6440</v>
      </c>
      <c r="DT41" s="4">
        <v>15</v>
      </c>
      <c r="DY41" s="4">
        <v>15</v>
      </c>
      <c r="ED41" s="4">
        <v>15</v>
      </c>
      <c r="EE41" s="92">
        <v>15336</v>
      </c>
      <c r="EF41" s="92">
        <v>17147</v>
      </c>
      <c r="EG41" s="92">
        <v>5907</v>
      </c>
      <c r="EI41" s="4">
        <v>15</v>
      </c>
      <c r="EN41" s="4">
        <v>15</v>
      </c>
      <c r="ES41" s="4">
        <v>15</v>
      </c>
      <c r="EY41" t="s">
        <v>22</v>
      </c>
      <c r="EZ41" s="4">
        <v>15</v>
      </c>
      <c r="FA41" s="106"/>
      <c r="FB41" s="106"/>
      <c r="FC41" s="107"/>
      <c r="FD41" s="2"/>
      <c r="FE41" s="4">
        <v>15</v>
      </c>
      <c r="FF41" s="92">
        <v>13079</v>
      </c>
      <c r="FG41" s="92">
        <v>15750</v>
      </c>
      <c r="FH41" s="104">
        <v>4195</v>
      </c>
      <c r="FI41" s="2"/>
      <c r="FJ41" s="4">
        <v>15</v>
      </c>
      <c r="FK41" s="92">
        <v>22207</v>
      </c>
      <c r="FL41" s="92">
        <v>22695</v>
      </c>
      <c r="FM41" s="104">
        <v>5893</v>
      </c>
      <c r="FN41" s="2"/>
      <c r="FO41" s="4">
        <v>15</v>
      </c>
      <c r="FP41" s="92">
        <v>24406</v>
      </c>
      <c r="FQ41" s="92">
        <v>23894</v>
      </c>
      <c r="FR41" s="104">
        <v>6483</v>
      </c>
      <c r="FS41" s="2"/>
      <c r="FT41" s="4">
        <v>15</v>
      </c>
      <c r="FW41" s="21"/>
      <c r="FY41" s="4">
        <v>15</v>
      </c>
      <c r="FZ41" s="106"/>
      <c r="GA41" s="106"/>
      <c r="GB41" s="107"/>
      <c r="GC41" s="2"/>
      <c r="GD41" s="4">
        <v>15</v>
      </c>
      <c r="GE41" s="92">
        <v>22070</v>
      </c>
      <c r="GF41" s="92">
        <v>21781</v>
      </c>
      <c r="GG41" s="104">
        <v>5557</v>
      </c>
      <c r="GH41" s="2"/>
      <c r="GI41" s="4">
        <v>15</v>
      </c>
      <c r="GJ41" s="92">
        <v>49238</v>
      </c>
      <c r="GK41" s="92">
        <v>33645</v>
      </c>
      <c r="GL41" s="104">
        <v>8427</v>
      </c>
      <c r="GM41" s="2"/>
      <c r="GN41" s="4">
        <v>15</v>
      </c>
      <c r="GO41" s="92">
        <v>22802</v>
      </c>
      <c r="GP41" s="92">
        <v>28850</v>
      </c>
      <c r="GQ41" s="104">
        <v>6592</v>
      </c>
      <c r="GR41" s="2"/>
      <c r="GS41" s="4">
        <v>15</v>
      </c>
      <c r="GV41" s="21"/>
      <c r="GX41" s="4">
        <v>15</v>
      </c>
      <c r="HA41" s="21"/>
      <c r="HC41" s="4">
        <v>15</v>
      </c>
      <c r="HD41" s="92">
        <v>37930</v>
      </c>
      <c r="HE41" s="92">
        <v>27504</v>
      </c>
      <c r="HF41" s="104">
        <v>8348</v>
      </c>
      <c r="HG41" s="2"/>
      <c r="HH41" s="4">
        <v>15</v>
      </c>
      <c r="HK41" s="21"/>
      <c r="HM41" s="4">
        <v>15</v>
      </c>
      <c r="HP41" s="21"/>
      <c r="HR41" s="4">
        <v>15</v>
      </c>
      <c r="HU41" s="21"/>
    </row>
    <row r="42" spans="1:229" x14ac:dyDescent="0.25">
      <c r="A42" t="s">
        <v>22</v>
      </c>
      <c r="B42" s="4">
        <v>15</v>
      </c>
      <c r="C42" s="92">
        <v>1636</v>
      </c>
      <c r="D42" s="92">
        <v>5760</v>
      </c>
      <c r="E42" s="92">
        <v>1791</v>
      </c>
      <c r="G42" s="4">
        <v>15</v>
      </c>
      <c r="H42" s="52"/>
      <c r="I42" s="52"/>
      <c r="J42" s="52"/>
      <c r="L42" s="4">
        <v>15</v>
      </c>
      <c r="M42" s="92">
        <v>4180</v>
      </c>
      <c r="N42" s="92">
        <v>9648</v>
      </c>
      <c r="O42" s="92">
        <v>2740</v>
      </c>
      <c r="Q42" s="4">
        <v>15</v>
      </c>
      <c r="R42" s="92">
        <v>3344</v>
      </c>
      <c r="S42" s="92">
        <v>8471</v>
      </c>
      <c r="T42" s="92">
        <v>2529</v>
      </c>
      <c r="V42" s="4">
        <v>15</v>
      </c>
      <c r="AA42" s="4">
        <v>15</v>
      </c>
      <c r="AB42" s="93" t="s">
        <v>24</v>
      </c>
      <c r="AC42" s="92">
        <v>3827</v>
      </c>
      <c r="AD42" s="92">
        <v>1216</v>
      </c>
      <c r="AF42" s="4">
        <v>15</v>
      </c>
      <c r="AG42" s="92">
        <v>1617</v>
      </c>
      <c r="AH42" s="92">
        <v>6536</v>
      </c>
      <c r="AI42" s="92">
        <v>2267</v>
      </c>
      <c r="AK42" s="4">
        <v>15</v>
      </c>
      <c r="AL42" s="92">
        <v>3596</v>
      </c>
      <c r="AM42" s="92">
        <v>8273</v>
      </c>
      <c r="AN42" s="92">
        <v>2742</v>
      </c>
      <c r="AP42" s="4">
        <v>15</v>
      </c>
      <c r="AQ42" s="92">
        <v>11170</v>
      </c>
      <c r="AR42" s="92">
        <v>19420</v>
      </c>
      <c r="AS42" s="92">
        <v>6636</v>
      </c>
      <c r="AU42" s="4">
        <v>15</v>
      </c>
      <c r="AZ42" s="4">
        <v>15</v>
      </c>
      <c r="BE42" s="4">
        <v>15</v>
      </c>
      <c r="BF42" s="92">
        <v>4309</v>
      </c>
      <c r="BG42" s="92">
        <v>9890</v>
      </c>
      <c r="BH42" s="92">
        <v>3631</v>
      </c>
      <c r="BJ42" s="4">
        <v>15</v>
      </c>
      <c r="BO42" s="4">
        <v>15</v>
      </c>
      <c r="BT42" s="4">
        <v>15</v>
      </c>
      <c r="BZ42" t="s">
        <v>22</v>
      </c>
      <c r="CA42" s="4">
        <v>16</v>
      </c>
      <c r="CB42" s="96">
        <v>4237</v>
      </c>
      <c r="CC42" s="96">
        <v>7595</v>
      </c>
      <c r="CD42" s="96">
        <v>1879</v>
      </c>
      <c r="CF42" s="4">
        <v>16</v>
      </c>
      <c r="CG42" s="92">
        <v>11707</v>
      </c>
      <c r="CH42" s="92">
        <v>15904</v>
      </c>
      <c r="CI42" s="92">
        <v>4764</v>
      </c>
      <c r="CK42" s="4">
        <v>16</v>
      </c>
      <c r="CL42" s="92">
        <v>17254</v>
      </c>
      <c r="CM42" s="92">
        <v>20346</v>
      </c>
      <c r="CN42" s="92">
        <v>5775</v>
      </c>
      <c r="CP42" s="4">
        <v>16</v>
      </c>
      <c r="CQ42" s="92">
        <v>4987</v>
      </c>
      <c r="CR42" s="92">
        <v>9884</v>
      </c>
      <c r="CS42" s="92">
        <v>2744</v>
      </c>
      <c r="CU42" s="4">
        <v>16</v>
      </c>
      <c r="CZ42" s="4">
        <v>16</v>
      </c>
      <c r="DA42" s="43">
        <v>1703</v>
      </c>
      <c r="DB42" s="43">
        <v>5264</v>
      </c>
      <c r="DC42" s="43">
        <v>1682</v>
      </c>
      <c r="DE42" s="4">
        <v>16</v>
      </c>
      <c r="DF42" s="92">
        <v>7898</v>
      </c>
      <c r="DG42" s="92">
        <v>11440</v>
      </c>
      <c r="DH42" s="92">
        <v>3486</v>
      </c>
      <c r="DJ42" s="4">
        <v>16</v>
      </c>
      <c r="DK42" s="92">
        <v>7592</v>
      </c>
      <c r="DL42" s="92">
        <v>12532</v>
      </c>
      <c r="DM42" s="92">
        <v>3638</v>
      </c>
      <c r="DO42" s="4">
        <v>16</v>
      </c>
      <c r="DP42" s="92">
        <v>8476</v>
      </c>
      <c r="DQ42" s="92">
        <v>14153</v>
      </c>
      <c r="DR42" s="92">
        <v>4430</v>
      </c>
      <c r="DT42" s="4">
        <v>16</v>
      </c>
      <c r="DY42" s="4">
        <v>16</v>
      </c>
      <c r="ED42" s="4">
        <v>16</v>
      </c>
      <c r="EE42" s="92">
        <v>25740</v>
      </c>
      <c r="EF42" s="92">
        <v>23250</v>
      </c>
      <c r="EG42" s="92">
        <v>7002</v>
      </c>
      <c r="EI42" s="4">
        <v>16</v>
      </c>
      <c r="EN42" s="4">
        <v>16</v>
      </c>
      <c r="ES42" s="4">
        <v>16</v>
      </c>
      <c r="EY42" t="s">
        <v>22</v>
      </c>
      <c r="EZ42" s="4">
        <v>16</v>
      </c>
      <c r="FA42" s="106"/>
      <c r="FB42" s="106"/>
      <c r="FC42" s="107"/>
      <c r="FD42" s="2"/>
      <c r="FE42" s="4">
        <v>16</v>
      </c>
      <c r="FF42" s="92">
        <v>17672</v>
      </c>
      <c r="FG42" s="92">
        <v>23177</v>
      </c>
      <c r="FH42" s="104">
        <v>5920</v>
      </c>
      <c r="FI42" s="2"/>
      <c r="FJ42" s="4">
        <v>16</v>
      </c>
      <c r="FK42" s="92">
        <v>40142</v>
      </c>
      <c r="FL42" s="92">
        <v>33438</v>
      </c>
      <c r="FM42" s="104">
        <v>8028</v>
      </c>
      <c r="FN42" s="2"/>
      <c r="FO42" s="4">
        <v>16</v>
      </c>
      <c r="FP42" s="92">
        <v>11384</v>
      </c>
      <c r="FQ42" s="92">
        <v>16182</v>
      </c>
      <c r="FR42" s="104">
        <v>3957</v>
      </c>
      <c r="FS42" s="2"/>
      <c r="FT42" s="4">
        <v>16</v>
      </c>
      <c r="FW42" s="21"/>
      <c r="FY42" s="4">
        <v>16</v>
      </c>
      <c r="FZ42" s="106"/>
      <c r="GA42" s="106"/>
      <c r="GB42" s="107"/>
      <c r="GC42" s="2"/>
      <c r="GD42" s="4">
        <v>16</v>
      </c>
      <c r="GE42" s="92">
        <v>6887</v>
      </c>
      <c r="GF42" s="92">
        <v>13608</v>
      </c>
      <c r="GG42" s="104">
        <v>3351</v>
      </c>
      <c r="GH42" s="2"/>
      <c r="GI42" s="4">
        <v>16</v>
      </c>
      <c r="GJ42" s="92">
        <v>26470</v>
      </c>
      <c r="GK42" s="92">
        <v>27645</v>
      </c>
      <c r="GL42" s="104">
        <v>6701</v>
      </c>
      <c r="GM42" s="2"/>
      <c r="GN42" s="4">
        <v>16</v>
      </c>
      <c r="GO42" s="92">
        <v>23579</v>
      </c>
      <c r="GP42" s="92">
        <v>32233</v>
      </c>
      <c r="GQ42" s="104">
        <v>6267</v>
      </c>
      <c r="GR42" s="2"/>
      <c r="GS42" s="4">
        <v>16</v>
      </c>
      <c r="GV42" s="21"/>
      <c r="GX42" s="4">
        <v>16</v>
      </c>
      <c r="HA42" s="21"/>
      <c r="HC42" s="4">
        <v>16</v>
      </c>
      <c r="HD42" s="92">
        <v>58197</v>
      </c>
      <c r="HE42" s="92">
        <v>32928</v>
      </c>
      <c r="HF42" s="104">
        <v>10379</v>
      </c>
      <c r="HG42" s="2"/>
      <c r="HH42" s="4">
        <v>16</v>
      </c>
      <c r="HK42" s="21"/>
      <c r="HM42" s="4">
        <v>16</v>
      </c>
      <c r="HP42" s="21"/>
      <c r="HR42" s="4">
        <v>16</v>
      </c>
      <c r="HU42" s="21"/>
    </row>
    <row r="43" spans="1:229" x14ac:dyDescent="0.25">
      <c r="A43" t="s">
        <v>22</v>
      </c>
      <c r="B43" s="4">
        <v>16</v>
      </c>
      <c r="C43" s="92">
        <v>1566</v>
      </c>
      <c r="D43" s="92">
        <v>5509</v>
      </c>
      <c r="E43" s="92">
        <v>2055</v>
      </c>
      <c r="G43" s="4">
        <v>16</v>
      </c>
      <c r="H43" s="52"/>
      <c r="I43" s="52"/>
      <c r="J43" s="52"/>
      <c r="L43" s="4">
        <v>16</v>
      </c>
      <c r="M43" s="92">
        <v>2711</v>
      </c>
      <c r="N43" s="92">
        <v>9388</v>
      </c>
      <c r="O43" s="92">
        <v>2943</v>
      </c>
      <c r="Q43" s="4">
        <v>16</v>
      </c>
      <c r="R43" s="92">
        <v>2355</v>
      </c>
      <c r="S43" s="92">
        <v>6742</v>
      </c>
      <c r="T43" s="92">
        <v>1939</v>
      </c>
      <c r="V43" s="4">
        <v>16</v>
      </c>
      <c r="AA43" s="4">
        <v>16</v>
      </c>
      <c r="AB43" s="92">
        <v>1994</v>
      </c>
      <c r="AC43" s="92">
        <v>6922</v>
      </c>
      <c r="AD43" s="92">
        <v>2479</v>
      </c>
      <c r="AF43" s="4">
        <v>16</v>
      </c>
      <c r="AG43" s="92">
        <v>2695</v>
      </c>
      <c r="AH43" s="92">
        <v>7062</v>
      </c>
      <c r="AI43" s="92">
        <v>2333</v>
      </c>
      <c r="AK43" s="4">
        <v>16</v>
      </c>
      <c r="AL43" s="92">
        <v>3933</v>
      </c>
      <c r="AM43" s="92">
        <v>8414</v>
      </c>
      <c r="AN43" s="92">
        <v>2995</v>
      </c>
      <c r="AP43" s="4">
        <v>16</v>
      </c>
      <c r="AQ43" s="92">
        <v>2677</v>
      </c>
      <c r="AR43" s="92">
        <v>7902</v>
      </c>
      <c r="AS43" s="92">
        <v>2916</v>
      </c>
      <c r="AU43" s="4">
        <v>16</v>
      </c>
      <c r="AZ43" s="4">
        <v>16</v>
      </c>
      <c r="BE43" s="4">
        <v>16</v>
      </c>
      <c r="BF43" s="92">
        <v>7762</v>
      </c>
      <c r="BG43" s="92">
        <v>15311</v>
      </c>
      <c r="BH43" s="92">
        <v>4978</v>
      </c>
      <c r="BJ43" s="4">
        <v>16</v>
      </c>
      <c r="BO43" s="4">
        <v>16</v>
      </c>
      <c r="BT43" s="4">
        <v>16</v>
      </c>
      <c r="BZ43" t="s">
        <v>22</v>
      </c>
      <c r="CA43" s="4">
        <v>17</v>
      </c>
      <c r="CB43" s="92">
        <v>4125</v>
      </c>
      <c r="CC43" s="92">
        <v>9566</v>
      </c>
      <c r="CD43" s="92">
        <v>2786</v>
      </c>
      <c r="CF43" s="4">
        <v>17</v>
      </c>
      <c r="CG43" s="92">
        <v>9342</v>
      </c>
      <c r="CH43" s="92">
        <v>16754</v>
      </c>
      <c r="CI43" s="92">
        <v>4325</v>
      </c>
      <c r="CK43" s="4">
        <v>17</v>
      </c>
      <c r="CL43" s="92">
        <v>14187</v>
      </c>
      <c r="CM43" s="92">
        <v>15337</v>
      </c>
      <c r="CN43" s="92">
        <v>4967</v>
      </c>
      <c r="CP43" s="4">
        <v>17</v>
      </c>
      <c r="CQ43" s="92">
        <v>4556</v>
      </c>
      <c r="CR43" s="92">
        <v>9764</v>
      </c>
      <c r="CS43" s="92">
        <v>3209</v>
      </c>
      <c r="CU43" s="4">
        <v>17</v>
      </c>
      <c r="CZ43" s="4">
        <v>17</v>
      </c>
      <c r="DA43" s="2">
        <v>3190</v>
      </c>
      <c r="DB43" s="2">
        <v>7929</v>
      </c>
      <c r="DC43" s="2">
        <v>2071</v>
      </c>
      <c r="DE43" s="4">
        <v>17</v>
      </c>
      <c r="DF43" s="92">
        <v>7563</v>
      </c>
      <c r="DG43" s="92">
        <v>12848</v>
      </c>
      <c r="DH43" s="92">
        <v>3552</v>
      </c>
      <c r="DJ43" s="4">
        <v>17</v>
      </c>
      <c r="DK43" s="92">
        <v>7425</v>
      </c>
      <c r="DL43" s="92">
        <v>14014</v>
      </c>
      <c r="DM43" s="92">
        <v>3791</v>
      </c>
      <c r="DO43" s="4">
        <v>17</v>
      </c>
      <c r="DP43" s="92">
        <v>9163</v>
      </c>
      <c r="DQ43" s="92">
        <v>13634</v>
      </c>
      <c r="DR43" s="92">
        <v>4437</v>
      </c>
      <c r="DT43" s="4">
        <v>17</v>
      </c>
      <c r="DY43" s="4">
        <v>17</v>
      </c>
      <c r="ED43" s="4">
        <v>17</v>
      </c>
      <c r="EE43" s="92">
        <v>11221</v>
      </c>
      <c r="EF43" s="92">
        <v>16823</v>
      </c>
      <c r="EG43" s="92">
        <v>5555</v>
      </c>
      <c r="EI43" s="4">
        <v>17</v>
      </c>
      <c r="EN43" s="4">
        <v>17</v>
      </c>
      <c r="ES43" s="4">
        <v>17</v>
      </c>
      <c r="EY43" t="s">
        <v>22</v>
      </c>
      <c r="EZ43" s="4">
        <v>17</v>
      </c>
      <c r="FA43" s="92">
        <v>6499</v>
      </c>
      <c r="FB43" s="92">
        <v>16161</v>
      </c>
      <c r="FC43" s="104">
        <v>3700</v>
      </c>
      <c r="FD43" s="2"/>
      <c r="FE43" s="4">
        <v>17</v>
      </c>
      <c r="FF43" s="92">
        <v>21651</v>
      </c>
      <c r="FG43" s="92">
        <v>27904</v>
      </c>
      <c r="FH43" s="104">
        <v>6375</v>
      </c>
      <c r="FI43" s="2"/>
      <c r="FJ43" s="4">
        <v>17</v>
      </c>
      <c r="FK43" s="92">
        <v>20955</v>
      </c>
      <c r="FL43" s="92">
        <v>20693</v>
      </c>
      <c r="FM43" s="104">
        <v>6046</v>
      </c>
      <c r="FN43" s="2"/>
      <c r="FO43" s="4">
        <v>17</v>
      </c>
      <c r="FP43" s="92">
        <v>16101</v>
      </c>
      <c r="FQ43" s="92">
        <v>20767</v>
      </c>
      <c r="FR43" s="104">
        <v>5102</v>
      </c>
      <c r="FS43" s="2"/>
      <c r="FT43" s="4">
        <v>17</v>
      </c>
      <c r="FW43" s="21"/>
      <c r="FY43" s="4">
        <v>17</v>
      </c>
      <c r="FZ43" s="92">
        <v>3151</v>
      </c>
      <c r="GA43" s="92">
        <v>7483</v>
      </c>
      <c r="GB43" s="104">
        <v>2040</v>
      </c>
      <c r="GC43" s="2"/>
      <c r="GD43" s="4">
        <v>17</v>
      </c>
      <c r="GE43" s="92">
        <v>10683</v>
      </c>
      <c r="GF43" s="92">
        <v>16873</v>
      </c>
      <c r="GG43" s="104">
        <v>4332</v>
      </c>
      <c r="GH43" s="2"/>
      <c r="GI43" s="4">
        <v>17</v>
      </c>
      <c r="GJ43" s="92">
        <v>24763</v>
      </c>
      <c r="GK43" s="92">
        <v>29383</v>
      </c>
      <c r="GL43" s="104">
        <v>6618</v>
      </c>
      <c r="GM43" s="2"/>
      <c r="GN43" s="4">
        <v>17</v>
      </c>
      <c r="GO43" s="92">
        <v>30093</v>
      </c>
      <c r="GP43" s="92">
        <v>32942</v>
      </c>
      <c r="GQ43" s="104">
        <v>7130</v>
      </c>
      <c r="GR43" s="2"/>
      <c r="GS43" s="4">
        <v>17</v>
      </c>
      <c r="GV43" s="21"/>
      <c r="GX43" s="4">
        <v>17</v>
      </c>
      <c r="HA43" s="21"/>
      <c r="HC43" s="4">
        <v>17</v>
      </c>
      <c r="HD43" s="92">
        <v>32276</v>
      </c>
      <c r="HE43" s="92">
        <v>29724</v>
      </c>
      <c r="HF43" s="104">
        <v>7874</v>
      </c>
      <c r="HG43" s="2"/>
      <c r="HH43" s="4">
        <v>17</v>
      </c>
      <c r="HK43" s="21"/>
      <c r="HM43" s="4">
        <v>17</v>
      </c>
      <c r="HP43" s="21"/>
      <c r="HR43" s="4">
        <v>17</v>
      </c>
      <c r="HU43" s="21"/>
    </row>
    <row r="44" spans="1:229" x14ac:dyDescent="0.25">
      <c r="A44" t="s">
        <v>22</v>
      </c>
      <c r="B44" s="4">
        <v>17</v>
      </c>
      <c r="C44" s="92">
        <v>1727</v>
      </c>
      <c r="D44" s="92">
        <v>6059</v>
      </c>
      <c r="E44" s="92">
        <v>1752</v>
      </c>
      <c r="G44" s="4">
        <v>17</v>
      </c>
      <c r="H44" s="52"/>
      <c r="I44" s="52"/>
      <c r="J44" s="52"/>
      <c r="L44" s="4">
        <v>17</v>
      </c>
      <c r="M44" s="92">
        <v>2877</v>
      </c>
      <c r="N44" s="92">
        <v>8030</v>
      </c>
      <c r="O44" s="92">
        <v>2744</v>
      </c>
      <c r="Q44" s="4">
        <v>17</v>
      </c>
      <c r="R44" s="92">
        <v>2633</v>
      </c>
      <c r="S44" s="92">
        <v>6599</v>
      </c>
      <c r="T44" s="92">
        <v>1925</v>
      </c>
      <c r="V44" s="4">
        <v>17</v>
      </c>
      <c r="AA44" s="4">
        <v>17</v>
      </c>
      <c r="AB44" s="92">
        <v>1530</v>
      </c>
      <c r="AC44" s="92">
        <v>5993</v>
      </c>
      <c r="AD44" s="92">
        <v>1713</v>
      </c>
      <c r="AF44" s="4">
        <v>17</v>
      </c>
      <c r="AG44" s="92">
        <v>1499</v>
      </c>
      <c r="AH44" s="92">
        <v>5254</v>
      </c>
      <c r="AI44" s="92">
        <v>1746</v>
      </c>
      <c r="AK44" s="4">
        <v>17</v>
      </c>
      <c r="AL44" s="92">
        <v>2778</v>
      </c>
      <c r="AM44" s="92">
        <v>7530</v>
      </c>
      <c r="AN44" s="92">
        <v>2162</v>
      </c>
      <c r="AP44" s="4">
        <v>17</v>
      </c>
      <c r="AQ44" s="92">
        <v>2088</v>
      </c>
      <c r="AR44" s="92">
        <v>5680</v>
      </c>
      <c r="AS44" s="92">
        <v>1564</v>
      </c>
      <c r="AU44" s="4">
        <v>17</v>
      </c>
      <c r="AZ44" s="4">
        <v>17</v>
      </c>
      <c r="BE44" s="4">
        <v>17</v>
      </c>
      <c r="BF44" s="92">
        <v>5807</v>
      </c>
      <c r="BG44" s="92">
        <v>11602</v>
      </c>
      <c r="BH44" s="92">
        <v>4540</v>
      </c>
      <c r="BJ44" s="4">
        <v>17</v>
      </c>
      <c r="BO44" s="4">
        <v>17</v>
      </c>
      <c r="BT44" s="4">
        <v>17</v>
      </c>
      <c r="BZ44" t="s">
        <v>22</v>
      </c>
      <c r="CA44" s="4">
        <v>18</v>
      </c>
      <c r="CB44" s="92">
        <v>3298</v>
      </c>
      <c r="CC44" s="92">
        <v>7873</v>
      </c>
      <c r="CD44" s="92">
        <v>2497</v>
      </c>
      <c r="CF44" s="4">
        <v>18</v>
      </c>
      <c r="CG44" s="92">
        <v>3514</v>
      </c>
      <c r="CH44" s="92">
        <v>7890</v>
      </c>
      <c r="CI44" s="92">
        <v>2042</v>
      </c>
      <c r="CK44" s="4">
        <v>18</v>
      </c>
      <c r="CL44" s="92">
        <v>14661</v>
      </c>
      <c r="CM44" s="92">
        <v>19138</v>
      </c>
      <c r="CN44" s="92">
        <v>5068</v>
      </c>
      <c r="CP44" s="4">
        <v>18</v>
      </c>
      <c r="CQ44" s="92">
        <v>10254</v>
      </c>
      <c r="CR44" s="92">
        <v>13803</v>
      </c>
      <c r="CS44" s="92">
        <v>4435</v>
      </c>
      <c r="CU44" s="4">
        <v>18</v>
      </c>
      <c r="CZ44" s="4">
        <v>18</v>
      </c>
      <c r="DA44" s="2">
        <v>2597</v>
      </c>
      <c r="DB44" s="2">
        <v>7184</v>
      </c>
      <c r="DC44" s="2">
        <v>2016</v>
      </c>
      <c r="DE44" s="4">
        <v>18</v>
      </c>
      <c r="DF44" s="92">
        <v>9715</v>
      </c>
      <c r="DG44" s="92">
        <v>14278</v>
      </c>
      <c r="DH44" s="92">
        <v>4144</v>
      </c>
      <c r="DJ44" s="4">
        <v>18</v>
      </c>
      <c r="DK44" s="92">
        <v>8672</v>
      </c>
      <c r="DL44" s="92">
        <v>16675</v>
      </c>
      <c r="DM44" s="92">
        <v>4260</v>
      </c>
      <c r="DO44" s="4">
        <v>18</v>
      </c>
      <c r="DP44" s="92">
        <v>11337</v>
      </c>
      <c r="DQ44" s="92">
        <v>13777</v>
      </c>
      <c r="DR44" s="92">
        <v>4002</v>
      </c>
      <c r="DT44" s="4">
        <v>18</v>
      </c>
      <c r="DY44" s="4">
        <v>18</v>
      </c>
      <c r="ED44" s="4">
        <v>18</v>
      </c>
      <c r="EE44" s="92">
        <v>9777</v>
      </c>
      <c r="EF44" s="92">
        <v>11904</v>
      </c>
      <c r="EG44" s="92">
        <v>3699</v>
      </c>
      <c r="EI44" s="4">
        <v>18</v>
      </c>
      <c r="EN44" s="4">
        <v>18</v>
      </c>
      <c r="ES44" s="4">
        <v>18</v>
      </c>
      <c r="EY44" t="s">
        <v>22</v>
      </c>
      <c r="EZ44" s="4">
        <v>18</v>
      </c>
      <c r="FA44" s="92">
        <v>8328</v>
      </c>
      <c r="FB44" s="92">
        <v>16133</v>
      </c>
      <c r="FC44" s="104">
        <v>3919</v>
      </c>
      <c r="FD44" s="2"/>
      <c r="FE44" s="4">
        <v>18</v>
      </c>
      <c r="FF44" s="92">
        <v>5337</v>
      </c>
      <c r="FG44" s="92">
        <v>13736</v>
      </c>
      <c r="FH44" s="104">
        <v>3771</v>
      </c>
      <c r="FI44" s="2"/>
      <c r="FJ44" s="4">
        <v>18</v>
      </c>
      <c r="FK44" s="92">
        <v>27426</v>
      </c>
      <c r="FL44" s="92">
        <v>26122</v>
      </c>
      <c r="FM44" s="104">
        <v>7249</v>
      </c>
      <c r="FN44" s="2"/>
      <c r="FO44" s="4">
        <v>18</v>
      </c>
      <c r="FP44" s="92">
        <v>24368</v>
      </c>
      <c r="FQ44" s="92">
        <v>23242</v>
      </c>
      <c r="FR44" s="104">
        <v>5635</v>
      </c>
      <c r="FS44" s="2"/>
      <c r="FT44" s="4">
        <v>18</v>
      </c>
      <c r="FW44" s="21"/>
      <c r="FY44" s="4">
        <v>18</v>
      </c>
      <c r="FZ44" s="92">
        <v>1536</v>
      </c>
      <c r="GA44" s="92">
        <v>5424</v>
      </c>
      <c r="GB44" s="104">
        <v>1847</v>
      </c>
      <c r="GC44" s="2"/>
      <c r="GD44" s="4">
        <v>18</v>
      </c>
      <c r="GE44" s="106"/>
      <c r="GF44" s="106"/>
      <c r="GG44" s="107"/>
      <c r="GH44" s="2"/>
      <c r="GI44" s="4">
        <v>18</v>
      </c>
      <c r="GJ44" s="92">
        <v>28011</v>
      </c>
      <c r="GK44" s="92">
        <v>27805</v>
      </c>
      <c r="GL44" s="104">
        <v>6782</v>
      </c>
      <c r="GM44" s="2"/>
      <c r="GN44" s="4">
        <v>18</v>
      </c>
      <c r="GO44" s="92">
        <v>26288</v>
      </c>
      <c r="GP44" s="92">
        <v>32948</v>
      </c>
      <c r="GQ44" s="104">
        <v>6534</v>
      </c>
      <c r="GR44" s="2"/>
      <c r="GS44" s="4">
        <v>18</v>
      </c>
      <c r="GV44" s="21"/>
      <c r="GX44" s="4">
        <v>18</v>
      </c>
      <c r="HA44" s="21"/>
      <c r="HC44" s="4">
        <v>18</v>
      </c>
      <c r="HD44" s="92">
        <v>29484</v>
      </c>
      <c r="HE44" s="92">
        <v>23298</v>
      </c>
      <c r="HF44" s="104">
        <v>6359</v>
      </c>
      <c r="HG44" s="2"/>
      <c r="HH44" s="4">
        <v>18</v>
      </c>
      <c r="HK44" s="21"/>
      <c r="HM44" s="4">
        <v>18</v>
      </c>
      <c r="HP44" s="21"/>
      <c r="HR44" s="4">
        <v>18</v>
      </c>
      <c r="HU44" s="21"/>
    </row>
    <row r="45" spans="1:229" x14ac:dyDescent="0.25">
      <c r="A45" t="s">
        <v>22</v>
      </c>
      <c r="B45" s="4">
        <v>18</v>
      </c>
      <c r="C45" s="92">
        <v>2509</v>
      </c>
      <c r="D45" s="92">
        <v>6974</v>
      </c>
      <c r="E45" s="92">
        <v>2608</v>
      </c>
      <c r="G45" s="4">
        <v>18</v>
      </c>
      <c r="H45" s="52"/>
      <c r="I45" s="52"/>
      <c r="J45" s="52"/>
      <c r="L45" s="4">
        <v>18</v>
      </c>
      <c r="M45" s="92">
        <v>3787</v>
      </c>
      <c r="N45" s="92">
        <v>10248</v>
      </c>
      <c r="O45" s="92">
        <v>3099</v>
      </c>
      <c r="Q45" s="4">
        <v>18</v>
      </c>
      <c r="R45" s="92">
        <v>3433</v>
      </c>
      <c r="S45" s="92">
        <v>7457</v>
      </c>
      <c r="T45" s="92">
        <v>2587</v>
      </c>
      <c r="V45" s="4">
        <v>18</v>
      </c>
      <c r="AA45" s="4">
        <v>18</v>
      </c>
      <c r="AB45" s="92">
        <v>1825</v>
      </c>
      <c r="AC45" s="92">
        <v>7482</v>
      </c>
      <c r="AD45" s="92">
        <v>2862</v>
      </c>
      <c r="AF45" s="4">
        <v>18</v>
      </c>
      <c r="AG45" s="92">
        <v>1813</v>
      </c>
      <c r="AH45" s="92">
        <v>7018</v>
      </c>
      <c r="AI45" s="92">
        <v>2154</v>
      </c>
      <c r="AK45" s="4">
        <v>18</v>
      </c>
      <c r="AL45" s="92">
        <v>3841</v>
      </c>
      <c r="AM45" s="92">
        <v>9980</v>
      </c>
      <c r="AN45" s="92">
        <v>2854</v>
      </c>
      <c r="AP45" s="4">
        <v>18</v>
      </c>
      <c r="AQ45" s="92">
        <v>2277</v>
      </c>
      <c r="AR45" s="92">
        <v>6705</v>
      </c>
      <c r="AS45" s="92">
        <v>2104</v>
      </c>
      <c r="AU45" s="4">
        <v>18</v>
      </c>
      <c r="AZ45" s="4">
        <v>18</v>
      </c>
      <c r="BE45" s="4">
        <v>18</v>
      </c>
      <c r="BF45" s="92">
        <v>2193</v>
      </c>
      <c r="BG45" s="92">
        <v>5913</v>
      </c>
      <c r="BH45" s="92">
        <v>1957</v>
      </c>
      <c r="BJ45" s="4">
        <v>18</v>
      </c>
      <c r="BO45" s="4">
        <v>18</v>
      </c>
      <c r="BT45" s="4">
        <v>18</v>
      </c>
      <c r="BZ45" t="s">
        <v>22</v>
      </c>
      <c r="CA45" s="4">
        <v>19</v>
      </c>
      <c r="CB45" s="92">
        <v>1826</v>
      </c>
      <c r="CC45" s="92">
        <v>5794</v>
      </c>
      <c r="CD45" s="92">
        <v>2118</v>
      </c>
      <c r="CF45" s="4">
        <v>19</v>
      </c>
      <c r="CG45" s="92">
        <v>5190</v>
      </c>
      <c r="CH45" s="92">
        <v>10433</v>
      </c>
      <c r="CI45" s="92">
        <v>2316</v>
      </c>
      <c r="CK45" s="4">
        <v>19</v>
      </c>
      <c r="CL45" s="92">
        <v>15776</v>
      </c>
      <c r="CM45" s="92">
        <v>17149</v>
      </c>
      <c r="CN45" s="92">
        <v>5139</v>
      </c>
      <c r="CP45" s="4">
        <v>19</v>
      </c>
      <c r="CQ45" s="92">
        <v>8183</v>
      </c>
      <c r="CR45" s="92">
        <v>13440</v>
      </c>
      <c r="CS45" s="92">
        <v>3642</v>
      </c>
      <c r="CU45" s="4">
        <v>19</v>
      </c>
      <c r="CZ45" s="4">
        <v>19</v>
      </c>
      <c r="DA45" s="2">
        <v>1889</v>
      </c>
      <c r="DB45" s="2">
        <v>6371</v>
      </c>
      <c r="DC45" s="2">
        <v>2111</v>
      </c>
      <c r="DE45" s="4">
        <v>19</v>
      </c>
      <c r="DF45" s="92">
        <v>11745</v>
      </c>
      <c r="DG45" s="92">
        <v>17509</v>
      </c>
      <c r="DH45" s="92">
        <v>5203</v>
      </c>
      <c r="DJ45" s="4">
        <v>19</v>
      </c>
      <c r="DK45" s="92">
        <v>17670</v>
      </c>
      <c r="DL45" s="92">
        <v>26978</v>
      </c>
      <c r="DM45" s="92">
        <v>6451</v>
      </c>
      <c r="DO45" s="4">
        <v>19</v>
      </c>
      <c r="DP45" s="92">
        <v>8894</v>
      </c>
      <c r="DQ45" s="92">
        <v>14405</v>
      </c>
      <c r="DR45" s="92">
        <v>3788</v>
      </c>
      <c r="DT45" s="4">
        <v>19</v>
      </c>
      <c r="DY45" s="4">
        <v>19</v>
      </c>
      <c r="ED45" s="4">
        <v>19</v>
      </c>
      <c r="EE45" s="92">
        <v>5676</v>
      </c>
      <c r="EF45" s="92">
        <v>10389</v>
      </c>
      <c r="EG45" s="92">
        <v>4017</v>
      </c>
      <c r="EI45" s="4">
        <v>19</v>
      </c>
      <c r="EN45" s="4">
        <v>19</v>
      </c>
      <c r="ES45" s="4">
        <v>19</v>
      </c>
      <c r="EY45" t="s">
        <v>22</v>
      </c>
      <c r="EZ45" s="4">
        <v>19</v>
      </c>
      <c r="FA45" s="106"/>
      <c r="FB45" s="106"/>
      <c r="FC45" s="107"/>
      <c r="FD45" s="2"/>
      <c r="FE45" s="4">
        <v>19</v>
      </c>
      <c r="FF45" s="92">
        <v>13499</v>
      </c>
      <c r="FG45" s="92">
        <v>20937</v>
      </c>
      <c r="FH45" s="104">
        <v>4700</v>
      </c>
      <c r="FI45" s="2"/>
      <c r="FJ45" s="4">
        <v>19</v>
      </c>
      <c r="FK45" s="92">
        <v>32922</v>
      </c>
      <c r="FL45" s="92">
        <v>29905</v>
      </c>
      <c r="FM45" s="104">
        <v>6871</v>
      </c>
      <c r="FN45" s="2"/>
      <c r="FO45" s="4">
        <v>19</v>
      </c>
      <c r="FP45" s="92">
        <v>22492</v>
      </c>
      <c r="FQ45" s="92">
        <v>28859</v>
      </c>
      <c r="FR45" s="104">
        <v>6124</v>
      </c>
      <c r="FS45" s="2"/>
      <c r="FT45" s="4">
        <v>19</v>
      </c>
      <c r="FW45" s="21"/>
      <c r="FY45" s="4">
        <v>19</v>
      </c>
      <c r="FZ45" s="92">
        <v>6354</v>
      </c>
      <c r="GA45" s="92">
        <v>10067</v>
      </c>
      <c r="GB45" s="104">
        <v>3473</v>
      </c>
      <c r="GC45" s="2"/>
      <c r="GD45" s="4">
        <v>19</v>
      </c>
      <c r="GE45" s="92">
        <v>10280</v>
      </c>
      <c r="GF45" s="92">
        <v>13454</v>
      </c>
      <c r="GG45" s="104">
        <v>4405</v>
      </c>
      <c r="GH45" s="2"/>
      <c r="GI45" s="4">
        <v>19</v>
      </c>
      <c r="GJ45" s="92">
        <v>38881</v>
      </c>
      <c r="GK45" s="92">
        <v>29689</v>
      </c>
      <c r="GL45" s="104">
        <v>8235</v>
      </c>
      <c r="GM45" s="2"/>
      <c r="GN45" s="4">
        <v>19</v>
      </c>
      <c r="GO45" s="106"/>
      <c r="GP45" s="106"/>
      <c r="GQ45" s="107"/>
      <c r="GR45" s="2"/>
      <c r="GS45" s="4">
        <v>19</v>
      </c>
      <c r="GV45" s="21"/>
      <c r="GX45" s="4">
        <v>19</v>
      </c>
      <c r="HA45" s="21"/>
      <c r="HC45" s="4">
        <v>19</v>
      </c>
      <c r="HD45" s="106"/>
      <c r="HE45" s="106"/>
      <c r="HF45" s="107"/>
      <c r="HG45" s="2"/>
      <c r="HH45" s="4">
        <v>19</v>
      </c>
      <c r="HK45" s="21"/>
      <c r="HM45" s="4">
        <v>19</v>
      </c>
      <c r="HP45" s="21"/>
      <c r="HR45" s="4">
        <v>19</v>
      </c>
      <c r="HU45" s="21"/>
    </row>
    <row r="46" spans="1:229" x14ac:dyDescent="0.25">
      <c r="A46" t="s">
        <v>22</v>
      </c>
      <c r="B46" s="4">
        <v>19</v>
      </c>
      <c r="C46" s="94" t="s">
        <v>25</v>
      </c>
      <c r="D46" s="92">
        <v>3688</v>
      </c>
      <c r="E46" s="92">
        <v>1061</v>
      </c>
      <c r="G46" s="4">
        <v>19</v>
      </c>
      <c r="H46" s="52"/>
      <c r="I46" s="52"/>
      <c r="J46" s="52"/>
      <c r="L46" s="4">
        <v>19</v>
      </c>
      <c r="M46" s="92">
        <v>2986</v>
      </c>
      <c r="N46" s="92">
        <v>7255</v>
      </c>
      <c r="O46" s="92">
        <v>2622</v>
      </c>
      <c r="Q46" s="4">
        <v>19</v>
      </c>
      <c r="R46" s="92">
        <v>2001</v>
      </c>
      <c r="S46" s="92">
        <v>7306</v>
      </c>
      <c r="T46" s="92">
        <v>2209</v>
      </c>
      <c r="V46" s="4">
        <v>19</v>
      </c>
      <c r="AA46" s="4">
        <v>19</v>
      </c>
      <c r="AB46" s="92">
        <v>2489</v>
      </c>
      <c r="AC46" s="92">
        <v>9250</v>
      </c>
      <c r="AD46" s="92">
        <v>2641</v>
      </c>
      <c r="AF46" s="4">
        <v>19</v>
      </c>
      <c r="AG46" s="92">
        <v>3681</v>
      </c>
      <c r="AH46" s="92">
        <v>9570</v>
      </c>
      <c r="AI46" s="92">
        <v>3635</v>
      </c>
      <c r="AK46" s="4">
        <v>19</v>
      </c>
      <c r="AL46" s="92">
        <v>5944</v>
      </c>
      <c r="AM46" s="92">
        <v>14302</v>
      </c>
      <c r="AN46" s="92">
        <v>4625</v>
      </c>
      <c r="AP46" s="4">
        <v>19</v>
      </c>
      <c r="AQ46" s="92">
        <v>1788</v>
      </c>
      <c r="AR46" s="92">
        <v>5608</v>
      </c>
      <c r="AS46" s="92">
        <v>1959</v>
      </c>
      <c r="AU46" s="4">
        <v>19</v>
      </c>
      <c r="AZ46" s="4">
        <v>19</v>
      </c>
      <c r="BE46" s="4">
        <v>19</v>
      </c>
      <c r="BF46" s="92">
        <v>2378</v>
      </c>
      <c r="BG46" s="92">
        <v>6167</v>
      </c>
      <c r="BH46" s="92">
        <v>2149</v>
      </c>
      <c r="BJ46" s="4">
        <v>19</v>
      </c>
      <c r="BO46" s="4">
        <v>19</v>
      </c>
      <c r="BT46" s="4">
        <v>19</v>
      </c>
      <c r="BZ46" t="s">
        <v>22</v>
      </c>
      <c r="CA46" s="4">
        <v>20</v>
      </c>
      <c r="CB46" s="97"/>
      <c r="CC46" s="97"/>
      <c r="CD46" s="97"/>
      <c r="CF46" s="4">
        <v>20</v>
      </c>
      <c r="CG46" s="92">
        <v>4925</v>
      </c>
      <c r="CH46" s="92">
        <v>10638</v>
      </c>
      <c r="CI46" s="92">
        <v>2777</v>
      </c>
      <c r="CK46" s="4">
        <v>20</v>
      </c>
      <c r="CL46" s="92">
        <v>18583</v>
      </c>
      <c r="CM46" s="92">
        <v>26419</v>
      </c>
      <c r="CN46" s="92">
        <v>6336</v>
      </c>
      <c r="CP46" s="4">
        <v>20</v>
      </c>
      <c r="CQ46" s="92">
        <v>9135</v>
      </c>
      <c r="CR46" s="92">
        <v>12472</v>
      </c>
      <c r="CS46" s="92">
        <v>3900</v>
      </c>
      <c r="CU46" s="4">
        <v>20</v>
      </c>
      <c r="CZ46" s="4">
        <v>20</v>
      </c>
      <c r="DA46" s="2">
        <v>9244</v>
      </c>
      <c r="DB46" s="2">
        <v>16961</v>
      </c>
      <c r="DC46" s="2">
        <v>3918</v>
      </c>
      <c r="DE46" s="4">
        <v>20</v>
      </c>
      <c r="DF46" s="92">
        <v>4411</v>
      </c>
      <c r="DG46" s="92">
        <v>8748</v>
      </c>
      <c r="DH46" s="92">
        <v>2826</v>
      </c>
      <c r="DJ46" s="4">
        <v>20</v>
      </c>
      <c r="DK46" s="92">
        <v>9907</v>
      </c>
      <c r="DL46" s="92">
        <v>19032</v>
      </c>
      <c r="DM46" s="92">
        <v>5144</v>
      </c>
      <c r="DO46" s="4">
        <v>20</v>
      </c>
      <c r="DP46" s="92">
        <v>8220</v>
      </c>
      <c r="DQ46" s="92">
        <v>12532</v>
      </c>
      <c r="DR46" s="92">
        <v>3741</v>
      </c>
      <c r="DT46" s="4">
        <v>20</v>
      </c>
      <c r="DY46" s="4">
        <v>20</v>
      </c>
      <c r="ED46" s="4">
        <v>20</v>
      </c>
      <c r="EE46" s="92">
        <v>9282</v>
      </c>
      <c r="EF46" s="92">
        <v>12601</v>
      </c>
      <c r="EG46" s="92">
        <v>4202</v>
      </c>
      <c r="EI46" s="4">
        <v>20</v>
      </c>
      <c r="EN46" s="4">
        <v>20</v>
      </c>
      <c r="ES46" s="4">
        <v>20</v>
      </c>
      <c r="EY46" t="s">
        <v>22</v>
      </c>
      <c r="EZ46" s="4">
        <v>20</v>
      </c>
      <c r="FA46" s="106"/>
      <c r="FB46" s="106"/>
      <c r="FC46" s="107"/>
      <c r="FD46" s="2"/>
      <c r="FE46" s="4">
        <v>20</v>
      </c>
      <c r="FF46" s="92">
        <v>12203</v>
      </c>
      <c r="FG46" s="92">
        <v>22715</v>
      </c>
      <c r="FH46" s="104">
        <v>4730</v>
      </c>
      <c r="FI46" s="2"/>
      <c r="FJ46" s="4">
        <v>20</v>
      </c>
      <c r="FK46" s="92">
        <v>36313</v>
      </c>
      <c r="FL46" s="92">
        <v>41667</v>
      </c>
      <c r="FM46" s="104">
        <v>8236</v>
      </c>
      <c r="FN46" s="2"/>
      <c r="FO46" s="4">
        <v>20</v>
      </c>
      <c r="FP46" s="92">
        <v>26838</v>
      </c>
      <c r="FQ46" s="92">
        <v>23905</v>
      </c>
      <c r="FR46" s="104">
        <v>6603</v>
      </c>
      <c r="FS46" s="2"/>
      <c r="FT46" s="4">
        <v>20</v>
      </c>
      <c r="FY46" s="4">
        <v>20</v>
      </c>
      <c r="FZ46" s="106"/>
      <c r="GA46" s="106"/>
      <c r="GB46" s="107"/>
      <c r="GC46" s="2"/>
      <c r="GD46" s="4">
        <v>20</v>
      </c>
      <c r="GE46" s="92">
        <v>7808</v>
      </c>
      <c r="GF46" s="92">
        <v>15014</v>
      </c>
      <c r="GG46" s="104">
        <v>3412</v>
      </c>
      <c r="GH46" s="2"/>
      <c r="GI46" s="4">
        <v>20</v>
      </c>
      <c r="GJ46" s="106"/>
      <c r="GK46" s="106"/>
      <c r="GL46" s="107"/>
      <c r="GM46" s="2"/>
      <c r="GN46" s="4">
        <v>20</v>
      </c>
      <c r="GO46" s="106"/>
      <c r="GP46" s="106"/>
      <c r="GQ46" s="107"/>
      <c r="GR46" s="2"/>
      <c r="GS46" s="4">
        <v>20</v>
      </c>
      <c r="GV46" s="21"/>
      <c r="GX46" s="4">
        <v>20</v>
      </c>
      <c r="HA46" s="21"/>
      <c r="HC46" s="4">
        <v>20</v>
      </c>
      <c r="HD46" s="106"/>
      <c r="HE46" s="106"/>
      <c r="HF46" s="107"/>
      <c r="HG46" s="2"/>
      <c r="HH46" s="4">
        <v>20</v>
      </c>
      <c r="HK46" s="21"/>
      <c r="HM46" s="4">
        <v>20</v>
      </c>
      <c r="HP46" s="21"/>
      <c r="HR46" s="4">
        <v>20</v>
      </c>
      <c r="HU46" s="21"/>
    </row>
    <row r="47" spans="1:229" x14ac:dyDescent="0.25">
      <c r="A47" t="s">
        <v>22</v>
      </c>
      <c r="B47" s="4">
        <v>20</v>
      </c>
      <c r="C47" s="92">
        <v>1765</v>
      </c>
      <c r="D47" s="92">
        <v>6142</v>
      </c>
      <c r="E47" s="92">
        <v>2387</v>
      </c>
      <c r="G47" s="4">
        <v>20</v>
      </c>
      <c r="L47" s="4">
        <v>20</v>
      </c>
      <c r="M47" s="92">
        <v>4707</v>
      </c>
      <c r="N47" s="92">
        <v>11112</v>
      </c>
      <c r="O47" s="92">
        <v>3351</v>
      </c>
      <c r="Q47" s="4">
        <v>20</v>
      </c>
      <c r="R47" s="92">
        <v>1362</v>
      </c>
      <c r="S47" s="92">
        <v>5280</v>
      </c>
      <c r="T47" s="92">
        <v>1595</v>
      </c>
      <c r="V47" s="4">
        <v>20</v>
      </c>
      <c r="AA47" s="4">
        <v>20</v>
      </c>
      <c r="AB47" s="92">
        <v>1419</v>
      </c>
      <c r="AC47" s="92">
        <v>5721</v>
      </c>
      <c r="AD47" s="93"/>
      <c r="AF47" s="4">
        <v>20</v>
      </c>
      <c r="AG47" s="92">
        <v>1575</v>
      </c>
      <c r="AH47" s="92">
        <v>4989</v>
      </c>
      <c r="AI47" s="92">
        <v>1737</v>
      </c>
      <c r="AK47" s="4">
        <v>20</v>
      </c>
      <c r="AL47" s="92">
        <v>4073</v>
      </c>
      <c r="AM47" s="92">
        <v>11148</v>
      </c>
      <c r="AN47" s="92">
        <v>3131</v>
      </c>
      <c r="AP47" s="4">
        <v>20</v>
      </c>
      <c r="AQ47" s="92">
        <v>2573</v>
      </c>
      <c r="AR47" s="92">
        <v>7449</v>
      </c>
      <c r="AS47" s="92">
        <v>2160</v>
      </c>
      <c r="AU47" s="4">
        <v>20</v>
      </c>
      <c r="AZ47" s="4">
        <v>20</v>
      </c>
      <c r="BE47" s="4">
        <v>20</v>
      </c>
      <c r="BF47" s="92">
        <v>2419</v>
      </c>
      <c r="BG47" s="92">
        <v>8035</v>
      </c>
      <c r="BH47" s="92">
        <v>2467</v>
      </c>
      <c r="BJ47" s="4">
        <v>20</v>
      </c>
      <c r="BO47" s="4">
        <v>20</v>
      </c>
      <c r="BT47" s="4">
        <v>20</v>
      </c>
      <c r="EZ47" s="20"/>
      <c r="FC47" s="21"/>
      <c r="FE47" s="20"/>
      <c r="FH47" s="21"/>
      <c r="FJ47" s="20"/>
      <c r="FM47" s="21"/>
      <c r="FO47" s="20"/>
      <c r="FR47" s="21"/>
      <c r="FT47" s="20"/>
      <c r="FW47" s="21"/>
      <c r="FY47" s="20"/>
      <c r="GB47" s="21"/>
      <c r="GD47" s="20"/>
      <c r="GG47" s="21"/>
      <c r="GI47" s="20"/>
      <c r="GL47" s="21"/>
      <c r="GN47" s="20"/>
      <c r="GQ47" s="21"/>
      <c r="GS47" s="20"/>
      <c r="GV47" s="21"/>
      <c r="GX47" s="20"/>
      <c r="HA47" s="21"/>
      <c r="HC47" s="20"/>
      <c r="HF47" s="21"/>
      <c r="HH47" s="20"/>
      <c r="HK47" s="21"/>
      <c r="HM47" s="20"/>
      <c r="HP47" s="21"/>
      <c r="HR47" s="20"/>
      <c r="HU47" s="21"/>
    </row>
    <row r="48" spans="1:229" x14ac:dyDescent="0.25">
      <c r="C48" s="2">
        <f>AVERAGE(C28:C47)</f>
        <v>3227.6842105263158</v>
      </c>
      <c r="D48" s="2">
        <f t="shared" ref="D48:BO48" si="4">AVERAGE(D28:D47)</f>
        <v>8132.9</v>
      </c>
      <c r="E48" s="2">
        <f t="shared" si="4"/>
        <v>2712.4</v>
      </c>
      <c r="F48" s="2" t="e">
        <f t="shared" si="4"/>
        <v>#DIV/0!</v>
      </c>
      <c r="G48" s="2">
        <f t="shared" si="4"/>
        <v>10.5</v>
      </c>
      <c r="H48" s="2" t="e">
        <f t="shared" si="4"/>
        <v>#DIV/0!</v>
      </c>
      <c r="I48" s="2" t="e">
        <f t="shared" si="4"/>
        <v>#DIV/0!</v>
      </c>
      <c r="J48" s="2" t="e">
        <f t="shared" si="4"/>
        <v>#DIV/0!</v>
      </c>
      <c r="K48" s="2" t="e">
        <f t="shared" si="4"/>
        <v>#DIV/0!</v>
      </c>
      <c r="L48" s="2">
        <f t="shared" si="4"/>
        <v>10.5</v>
      </c>
      <c r="M48" s="2">
        <f t="shared" si="4"/>
        <v>4021.15</v>
      </c>
      <c r="N48" s="2">
        <f t="shared" si="4"/>
        <v>10169.549999999999</v>
      </c>
      <c r="O48" s="2">
        <f t="shared" si="4"/>
        <v>2967.15</v>
      </c>
      <c r="P48" s="2" t="e">
        <f t="shared" si="4"/>
        <v>#DIV/0!</v>
      </c>
      <c r="Q48" s="2">
        <f t="shared" si="4"/>
        <v>10.5</v>
      </c>
      <c r="R48" s="2">
        <f t="shared" si="4"/>
        <v>3088.2</v>
      </c>
      <c r="S48" s="2">
        <f t="shared" si="4"/>
        <v>7909.05</v>
      </c>
      <c r="T48" s="2">
        <f t="shared" si="4"/>
        <v>2530.9499999999998</v>
      </c>
      <c r="U48" s="2" t="e">
        <f t="shared" si="4"/>
        <v>#DIV/0!</v>
      </c>
      <c r="V48" s="2">
        <f t="shared" si="4"/>
        <v>10.5</v>
      </c>
      <c r="W48" s="2">
        <f t="shared" si="4"/>
        <v>4926.75</v>
      </c>
      <c r="X48" s="2">
        <f t="shared" si="4"/>
        <v>13655.916666666666</v>
      </c>
      <c r="Y48" s="2">
        <f t="shared" si="4"/>
        <v>3637.5</v>
      </c>
      <c r="Z48" s="2" t="e">
        <f t="shared" si="4"/>
        <v>#DIV/0!</v>
      </c>
      <c r="AA48" s="2">
        <f t="shared" si="4"/>
        <v>10.5</v>
      </c>
      <c r="AB48" s="2">
        <f t="shared" si="4"/>
        <v>2772.6315789473683</v>
      </c>
      <c r="AC48" s="2">
        <f t="shared" si="4"/>
        <v>8501.5</v>
      </c>
      <c r="AD48" s="2">
        <f t="shared" si="4"/>
        <v>2598.6842105263158</v>
      </c>
      <c r="AE48" s="2" t="e">
        <f t="shared" si="4"/>
        <v>#DIV/0!</v>
      </c>
      <c r="AF48" s="2">
        <f t="shared" si="4"/>
        <v>10.5</v>
      </c>
      <c r="AG48" s="2">
        <f t="shared" si="4"/>
        <v>3212.1</v>
      </c>
      <c r="AH48" s="2">
        <f t="shared" si="4"/>
        <v>8757.2999999999993</v>
      </c>
      <c r="AI48" s="2">
        <f t="shared" si="4"/>
        <v>2695</v>
      </c>
      <c r="AJ48" s="2" t="e">
        <f t="shared" si="4"/>
        <v>#DIV/0!</v>
      </c>
      <c r="AK48" s="2">
        <f t="shared" si="4"/>
        <v>10.5</v>
      </c>
      <c r="AL48" s="2">
        <f t="shared" si="4"/>
        <v>4839.7</v>
      </c>
      <c r="AM48" s="2">
        <f t="shared" si="4"/>
        <v>11797.7</v>
      </c>
      <c r="AN48" s="2">
        <f t="shared" si="4"/>
        <v>3601.65</v>
      </c>
      <c r="AO48" s="2" t="e">
        <f t="shared" si="4"/>
        <v>#DIV/0!</v>
      </c>
      <c r="AP48" s="2">
        <f t="shared" si="4"/>
        <v>10.5</v>
      </c>
      <c r="AQ48" s="2">
        <f t="shared" si="4"/>
        <v>4019.85</v>
      </c>
      <c r="AR48" s="2">
        <f t="shared" si="4"/>
        <v>9213.2999999999993</v>
      </c>
      <c r="AS48" s="2">
        <f t="shared" si="4"/>
        <v>3067.95</v>
      </c>
      <c r="AT48" s="2" t="e">
        <f t="shared" si="4"/>
        <v>#DIV/0!</v>
      </c>
      <c r="AU48" s="2">
        <f t="shared" si="4"/>
        <v>10.5</v>
      </c>
      <c r="AV48" s="2">
        <f t="shared" si="4"/>
        <v>3755.9230769230771</v>
      </c>
      <c r="AW48" s="2">
        <f t="shared" si="4"/>
        <v>11057.538461538461</v>
      </c>
      <c r="AX48" s="2">
        <f t="shared" si="4"/>
        <v>3478</v>
      </c>
      <c r="AY48" s="2" t="e">
        <f t="shared" si="4"/>
        <v>#DIV/0!</v>
      </c>
      <c r="AZ48" s="2">
        <f t="shared" si="4"/>
        <v>10.5</v>
      </c>
      <c r="BA48" s="2">
        <f t="shared" si="4"/>
        <v>3322.4285714285716</v>
      </c>
      <c r="BB48" s="2">
        <f t="shared" si="4"/>
        <v>8268.7142857142862</v>
      </c>
      <c r="BC48" s="2">
        <f t="shared" si="4"/>
        <v>2478.4285714285716</v>
      </c>
      <c r="BD48" s="2" t="e">
        <f t="shared" si="4"/>
        <v>#DIV/0!</v>
      </c>
      <c r="BE48" s="2">
        <f t="shared" si="4"/>
        <v>10.5</v>
      </c>
      <c r="BF48" s="2">
        <f t="shared" si="4"/>
        <v>5466.75</v>
      </c>
      <c r="BG48" s="2">
        <f t="shared" si="4"/>
        <v>10818</v>
      </c>
      <c r="BH48" s="2">
        <f t="shared" si="4"/>
        <v>3667.7</v>
      </c>
      <c r="BI48" s="2" t="e">
        <f t="shared" si="4"/>
        <v>#DIV/0!</v>
      </c>
      <c r="BJ48" s="2">
        <f t="shared" si="4"/>
        <v>10.5</v>
      </c>
      <c r="BK48" s="2">
        <f t="shared" si="4"/>
        <v>4315.875</v>
      </c>
      <c r="BL48" s="2">
        <f t="shared" si="4"/>
        <v>9326.625</v>
      </c>
      <c r="BM48" s="2">
        <f t="shared" si="4"/>
        <v>2806.25</v>
      </c>
      <c r="BN48" s="2" t="e">
        <f t="shared" si="4"/>
        <v>#DIV/0!</v>
      </c>
      <c r="BO48" s="2">
        <f t="shared" si="4"/>
        <v>10.5</v>
      </c>
      <c r="BP48" s="2">
        <f t="shared" ref="BP48:EA48" si="5">AVERAGE(BP28:BP47)</f>
        <v>3342.2857142857142</v>
      </c>
      <c r="BQ48" s="2">
        <f t="shared" si="5"/>
        <v>8447.7142857142862</v>
      </c>
      <c r="BR48" s="2">
        <f t="shared" si="5"/>
        <v>2503.5714285714284</v>
      </c>
      <c r="BS48" s="2" t="e">
        <f t="shared" si="5"/>
        <v>#DIV/0!</v>
      </c>
      <c r="BT48" s="2">
        <f t="shared" si="5"/>
        <v>10.5</v>
      </c>
      <c r="BU48" s="2">
        <f t="shared" si="5"/>
        <v>3156.8333333333335</v>
      </c>
      <c r="BV48" s="2">
        <f t="shared" si="5"/>
        <v>7898.416666666667</v>
      </c>
      <c r="BW48" s="2">
        <f t="shared" si="5"/>
        <v>2354.25</v>
      </c>
      <c r="BX48" s="2" t="e">
        <f t="shared" si="5"/>
        <v>#DIV/0!</v>
      </c>
      <c r="BY48" s="2" t="e">
        <f t="shared" si="5"/>
        <v>#DIV/0!</v>
      </c>
      <c r="BZ48" s="2" t="e">
        <f t="shared" si="5"/>
        <v>#DIV/0!</v>
      </c>
      <c r="CA48" s="2">
        <f t="shared" si="5"/>
        <v>11</v>
      </c>
      <c r="CB48" s="2">
        <f t="shared" si="5"/>
        <v>7346.3529411764703</v>
      </c>
      <c r="CC48" s="2">
        <f>AVERAGE(CC28:CC47)</f>
        <v>12486.176470588236</v>
      </c>
      <c r="CD48" s="2">
        <f t="shared" si="5"/>
        <v>3524.7647058823532</v>
      </c>
      <c r="CE48" s="2" t="e">
        <f t="shared" si="5"/>
        <v>#DIV/0!</v>
      </c>
      <c r="CF48" s="2">
        <f t="shared" si="5"/>
        <v>11</v>
      </c>
      <c r="CG48" s="2">
        <f t="shared" si="5"/>
        <v>8029.4210526315792</v>
      </c>
      <c r="CH48" s="2">
        <f t="shared" si="5"/>
        <v>13749.736842105263</v>
      </c>
      <c r="CI48" s="2">
        <f t="shared" si="5"/>
        <v>3649.4736842105262</v>
      </c>
      <c r="CJ48" s="2" t="e">
        <f t="shared" si="5"/>
        <v>#DIV/0!</v>
      </c>
      <c r="CK48" s="2">
        <f t="shared" si="5"/>
        <v>11</v>
      </c>
      <c r="CL48" s="2">
        <f t="shared" si="5"/>
        <v>15277.947368421053</v>
      </c>
      <c r="CM48" s="2">
        <f t="shared" si="5"/>
        <v>19081.78947368421</v>
      </c>
      <c r="CN48" s="2">
        <f t="shared" si="5"/>
        <v>5191.2631578947367</v>
      </c>
      <c r="CO48" s="2" t="e">
        <f t="shared" si="5"/>
        <v>#DIV/0!</v>
      </c>
      <c r="CP48" s="2">
        <f t="shared" si="5"/>
        <v>11</v>
      </c>
      <c r="CQ48" s="2">
        <f t="shared" si="5"/>
        <v>9402.7368421052633</v>
      </c>
      <c r="CR48" s="2">
        <f t="shared" si="5"/>
        <v>15401.052631578947</v>
      </c>
      <c r="CS48" s="2">
        <f t="shared" si="5"/>
        <v>4279.5263157894733</v>
      </c>
      <c r="CT48" s="2" t="e">
        <f t="shared" si="5"/>
        <v>#DIV/0!</v>
      </c>
      <c r="CU48" s="2">
        <f t="shared" si="5"/>
        <v>11</v>
      </c>
      <c r="CV48" s="2">
        <f t="shared" si="5"/>
        <v>8282.181818181818</v>
      </c>
      <c r="CW48" s="2">
        <f t="shared" si="5"/>
        <v>15655</v>
      </c>
      <c r="CX48" s="2">
        <f t="shared" si="5"/>
        <v>4292.181818181818</v>
      </c>
      <c r="CY48" s="2" t="e">
        <f t="shared" si="5"/>
        <v>#DIV/0!</v>
      </c>
      <c r="CZ48" s="2">
        <f t="shared" si="5"/>
        <v>11</v>
      </c>
      <c r="DA48" s="2">
        <f t="shared" si="5"/>
        <v>8472.1578947368416</v>
      </c>
      <c r="DB48" s="2">
        <f t="shared" si="5"/>
        <v>14396.631578947368</v>
      </c>
      <c r="DC48" s="2">
        <f t="shared" si="5"/>
        <v>3814.5263157894738</v>
      </c>
      <c r="DD48" s="2" t="e">
        <f t="shared" si="5"/>
        <v>#DIV/0!</v>
      </c>
      <c r="DE48" s="2">
        <f t="shared" si="5"/>
        <v>11</v>
      </c>
      <c r="DF48" s="2">
        <f t="shared" si="5"/>
        <v>9059.894736842105</v>
      </c>
      <c r="DG48" s="2">
        <f t="shared" si="5"/>
        <v>14752.947368421053</v>
      </c>
      <c r="DH48" s="2">
        <f t="shared" si="5"/>
        <v>4172.6315789473683</v>
      </c>
      <c r="DI48" s="2" t="e">
        <f t="shared" si="5"/>
        <v>#DIV/0!</v>
      </c>
      <c r="DJ48" s="2">
        <f t="shared" si="5"/>
        <v>11</v>
      </c>
      <c r="DK48" s="2">
        <f t="shared" si="5"/>
        <v>13192.368421052632</v>
      </c>
      <c r="DL48" s="2">
        <f t="shared" si="5"/>
        <v>19229.947368421053</v>
      </c>
      <c r="DM48" s="2">
        <f t="shared" si="5"/>
        <v>5067</v>
      </c>
      <c r="DN48" s="2" t="e">
        <f t="shared" si="5"/>
        <v>#DIV/0!</v>
      </c>
      <c r="DO48" s="2">
        <f t="shared" si="5"/>
        <v>11</v>
      </c>
      <c r="DP48" s="2">
        <f t="shared" si="5"/>
        <v>13184</v>
      </c>
      <c r="DQ48" s="2">
        <f t="shared" si="5"/>
        <v>18014.473684210527</v>
      </c>
      <c r="DR48" s="2">
        <f t="shared" si="5"/>
        <v>4916.894736842105</v>
      </c>
      <c r="DS48" s="2" t="e">
        <f t="shared" si="5"/>
        <v>#DIV/0!</v>
      </c>
      <c r="DT48" s="2">
        <f t="shared" si="5"/>
        <v>11</v>
      </c>
      <c r="DU48" s="2">
        <f t="shared" si="5"/>
        <v>11865</v>
      </c>
      <c r="DV48" s="2">
        <f t="shared" si="5"/>
        <v>19079.727272727272</v>
      </c>
      <c r="DW48" s="2">
        <f t="shared" si="5"/>
        <v>4932.909090909091</v>
      </c>
      <c r="DX48" s="2" t="e">
        <f t="shared" si="5"/>
        <v>#DIV/0!</v>
      </c>
      <c r="DY48" s="2">
        <f t="shared" si="5"/>
        <v>11</v>
      </c>
      <c r="DZ48" s="2">
        <f t="shared" si="5"/>
        <v>4432.166666666667</v>
      </c>
      <c r="EA48" s="2">
        <f t="shared" si="5"/>
        <v>8905</v>
      </c>
      <c r="EB48" s="2">
        <f t="shared" ref="EB48:GM48" si="6">AVERAGE(EB28:EB47)</f>
        <v>2559.1666666666665</v>
      </c>
      <c r="EC48" s="2" t="e">
        <f t="shared" si="6"/>
        <v>#DIV/0!</v>
      </c>
      <c r="ED48" s="2">
        <f t="shared" si="6"/>
        <v>11</v>
      </c>
      <c r="EE48" s="2">
        <f t="shared" si="6"/>
        <v>15895.736842105263</v>
      </c>
      <c r="EF48" s="2">
        <f t="shared" si="6"/>
        <v>17178.42105263158</v>
      </c>
      <c r="EG48" s="2">
        <f t="shared" si="6"/>
        <v>5321.6315789473683</v>
      </c>
      <c r="EH48" s="2" t="e">
        <f t="shared" si="6"/>
        <v>#DIV/0!</v>
      </c>
      <c r="EI48" s="2">
        <f t="shared" si="6"/>
        <v>11</v>
      </c>
      <c r="EJ48" s="2">
        <f t="shared" si="6"/>
        <v>13541</v>
      </c>
      <c r="EK48" s="2">
        <f t="shared" si="6"/>
        <v>16053.285714285714</v>
      </c>
      <c r="EL48" s="2">
        <f t="shared" si="6"/>
        <v>4631.4285714285716</v>
      </c>
      <c r="EM48" s="2" t="e">
        <f t="shared" si="6"/>
        <v>#DIV/0!</v>
      </c>
      <c r="EN48" s="2">
        <f t="shared" si="6"/>
        <v>11</v>
      </c>
      <c r="EO48" s="2">
        <f t="shared" si="6"/>
        <v>8780.7999999999993</v>
      </c>
      <c r="EP48" s="2">
        <f t="shared" si="6"/>
        <v>12708.8</v>
      </c>
      <c r="EQ48" s="2">
        <f t="shared" si="6"/>
        <v>3821.6</v>
      </c>
      <c r="ER48" s="2" t="e">
        <f t="shared" si="6"/>
        <v>#DIV/0!</v>
      </c>
      <c r="ES48" s="2">
        <f t="shared" si="6"/>
        <v>11</v>
      </c>
      <c r="ET48" s="2">
        <f t="shared" si="6"/>
        <v>9398</v>
      </c>
      <c r="EU48" s="2">
        <f t="shared" si="6"/>
        <v>13862.272727272728</v>
      </c>
      <c r="EV48" s="2">
        <f t="shared" si="6"/>
        <v>3986.7272727272725</v>
      </c>
      <c r="EW48" s="2" t="e">
        <f t="shared" si="6"/>
        <v>#DIV/0!</v>
      </c>
      <c r="EX48" s="2" t="e">
        <f t="shared" si="6"/>
        <v>#DIV/0!</v>
      </c>
      <c r="EY48" s="2" t="e">
        <f t="shared" si="6"/>
        <v>#DIV/0!</v>
      </c>
      <c r="EZ48" s="2">
        <f t="shared" si="6"/>
        <v>11</v>
      </c>
      <c r="FA48" s="2">
        <f t="shared" si="6"/>
        <v>11611.333333333334</v>
      </c>
      <c r="FB48" s="2">
        <f t="shared" si="6"/>
        <v>20718.5</v>
      </c>
      <c r="FC48" s="2">
        <f t="shared" si="6"/>
        <v>4799.416666666667</v>
      </c>
      <c r="FD48" s="2" t="e">
        <f t="shared" si="6"/>
        <v>#DIV/0!</v>
      </c>
      <c r="FE48" s="2">
        <f t="shared" si="6"/>
        <v>11</v>
      </c>
      <c r="FF48" s="2">
        <f t="shared" si="6"/>
        <v>16561</v>
      </c>
      <c r="FG48" s="2">
        <f t="shared" si="6"/>
        <v>22578.684210526317</v>
      </c>
      <c r="FH48" s="2">
        <f t="shared" si="6"/>
        <v>5252.5263157894733</v>
      </c>
      <c r="FI48" s="2" t="e">
        <f t="shared" si="6"/>
        <v>#DIV/0!</v>
      </c>
      <c r="FJ48" s="2">
        <f t="shared" si="6"/>
        <v>11</v>
      </c>
      <c r="FK48" s="2">
        <f t="shared" si="6"/>
        <v>31819.666666666668</v>
      </c>
      <c r="FL48" s="2">
        <f t="shared" si="6"/>
        <v>30674.277777777777</v>
      </c>
      <c r="FM48" s="2">
        <f t="shared" si="6"/>
        <v>7316.4444444444443</v>
      </c>
      <c r="FN48" s="2" t="e">
        <f t="shared" si="6"/>
        <v>#DIV/0!</v>
      </c>
      <c r="FO48" s="2">
        <f t="shared" si="6"/>
        <v>11</v>
      </c>
      <c r="FP48" s="2">
        <f t="shared" si="6"/>
        <v>21940.36842105263</v>
      </c>
      <c r="FQ48" s="2">
        <f t="shared" si="6"/>
        <v>24769.947368421053</v>
      </c>
      <c r="FR48" s="2">
        <f t="shared" si="6"/>
        <v>5937.0526315789475</v>
      </c>
      <c r="FS48" s="2" t="e">
        <f t="shared" si="6"/>
        <v>#DIV/0!</v>
      </c>
      <c r="FT48" s="2">
        <f t="shared" si="6"/>
        <v>11</v>
      </c>
      <c r="FU48" s="2">
        <f t="shared" si="6"/>
        <v>12959.857142857143</v>
      </c>
      <c r="FV48" s="2">
        <f t="shared" si="6"/>
        <v>23371.571428571428</v>
      </c>
      <c r="FW48" s="2">
        <f t="shared" si="6"/>
        <v>4775</v>
      </c>
      <c r="FX48" s="2" t="e">
        <f t="shared" si="6"/>
        <v>#DIV/0!</v>
      </c>
      <c r="FY48" s="2">
        <f t="shared" si="6"/>
        <v>11</v>
      </c>
      <c r="FZ48" s="2">
        <f t="shared" si="6"/>
        <v>13064</v>
      </c>
      <c r="GA48" s="2">
        <f t="shared" si="6"/>
        <v>18437.428571428572</v>
      </c>
      <c r="GB48" s="2">
        <f t="shared" si="6"/>
        <v>4749.5</v>
      </c>
      <c r="GC48" s="2" t="e">
        <f t="shared" si="6"/>
        <v>#DIV/0!</v>
      </c>
      <c r="GD48" s="2">
        <f t="shared" si="6"/>
        <v>11</v>
      </c>
      <c r="GE48" s="2">
        <f t="shared" si="6"/>
        <v>17703.235294117647</v>
      </c>
      <c r="GF48" s="2">
        <f t="shared" si="6"/>
        <v>20274.705882352941</v>
      </c>
      <c r="GG48" s="2">
        <f t="shared" si="6"/>
        <v>5154</v>
      </c>
      <c r="GH48" s="2" t="e">
        <f t="shared" si="6"/>
        <v>#DIV/0!</v>
      </c>
      <c r="GI48" s="2">
        <f t="shared" si="6"/>
        <v>11</v>
      </c>
      <c r="GJ48" s="2">
        <f t="shared" si="6"/>
        <v>34910.352941176468</v>
      </c>
      <c r="GK48" s="2">
        <f t="shared" si="6"/>
        <v>35743.058823529413</v>
      </c>
      <c r="GL48" s="2">
        <f t="shared" si="6"/>
        <v>7658.4705882352937</v>
      </c>
      <c r="GM48" s="2" t="e">
        <f t="shared" si="6"/>
        <v>#DIV/0!</v>
      </c>
      <c r="GN48" s="2">
        <f t="shared" ref="GN48:HU48" si="7">AVERAGE(GN28:GN47)</f>
        <v>11</v>
      </c>
      <c r="GO48" s="2">
        <f t="shared" si="7"/>
        <v>34307.411764705881</v>
      </c>
      <c r="GP48" s="2">
        <f t="shared" si="7"/>
        <v>35159.117647058825</v>
      </c>
      <c r="GQ48" s="2">
        <f t="shared" si="7"/>
        <v>7490.7647058823532</v>
      </c>
      <c r="GR48" s="2" t="e">
        <f t="shared" si="7"/>
        <v>#DIV/0!</v>
      </c>
      <c r="GS48" s="2">
        <f t="shared" si="7"/>
        <v>11</v>
      </c>
      <c r="GT48" s="2">
        <f t="shared" si="7"/>
        <v>17057</v>
      </c>
      <c r="GU48" s="2">
        <f t="shared" si="7"/>
        <v>21901.166666666668</v>
      </c>
      <c r="GV48" s="2">
        <f t="shared" si="7"/>
        <v>6269.666666666667</v>
      </c>
      <c r="GW48" s="2" t="e">
        <f t="shared" si="7"/>
        <v>#DIV/0!</v>
      </c>
      <c r="GX48" s="2">
        <f t="shared" si="7"/>
        <v>11</v>
      </c>
      <c r="GY48" s="2">
        <f t="shared" si="7"/>
        <v>6200.2</v>
      </c>
      <c r="GZ48" s="2">
        <f t="shared" si="7"/>
        <v>11430.4</v>
      </c>
      <c r="HA48" s="2">
        <f t="shared" si="7"/>
        <v>3133</v>
      </c>
      <c r="HB48" s="2" t="e">
        <f t="shared" si="7"/>
        <v>#DIV/0!</v>
      </c>
      <c r="HC48" s="2">
        <f t="shared" si="7"/>
        <v>11</v>
      </c>
      <c r="HD48" s="2">
        <f t="shared" si="7"/>
        <v>39629.470588235294</v>
      </c>
      <c r="HE48" s="2">
        <f t="shared" si="7"/>
        <v>30928.235294117647</v>
      </c>
      <c r="HF48" s="2">
        <f t="shared" si="7"/>
        <v>8157.6470588235297</v>
      </c>
      <c r="HG48" s="2" t="e">
        <f t="shared" si="7"/>
        <v>#DIV/0!</v>
      </c>
      <c r="HH48" s="2">
        <f t="shared" si="7"/>
        <v>11</v>
      </c>
      <c r="HI48" s="2">
        <f t="shared" si="7"/>
        <v>32257.428571428572</v>
      </c>
      <c r="HJ48" s="2">
        <f t="shared" si="7"/>
        <v>25639.142857142859</v>
      </c>
      <c r="HK48" s="2">
        <f t="shared" si="7"/>
        <v>6981.2857142857147</v>
      </c>
      <c r="HL48" s="2" t="e">
        <f t="shared" si="7"/>
        <v>#DIV/0!</v>
      </c>
      <c r="HM48" s="2">
        <f t="shared" si="7"/>
        <v>11</v>
      </c>
      <c r="HN48" s="2">
        <f t="shared" si="7"/>
        <v>29313</v>
      </c>
      <c r="HO48" s="2">
        <f t="shared" si="7"/>
        <v>29277</v>
      </c>
      <c r="HP48" s="2">
        <f t="shared" si="7"/>
        <v>7299.5</v>
      </c>
      <c r="HQ48" s="2" t="e">
        <f t="shared" si="7"/>
        <v>#DIV/0!</v>
      </c>
      <c r="HR48" s="2">
        <f t="shared" si="7"/>
        <v>11</v>
      </c>
      <c r="HS48" s="2">
        <f t="shared" si="7"/>
        <v>22225.888888888891</v>
      </c>
      <c r="HT48" s="2">
        <f t="shared" si="7"/>
        <v>24104.9</v>
      </c>
      <c r="HU48" s="2">
        <f t="shared" si="7"/>
        <v>5749</v>
      </c>
    </row>
    <row r="50" spans="2:229" x14ac:dyDescent="0.25">
      <c r="B50" t="s">
        <v>32</v>
      </c>
      <c r="C50" s="2">
        <f>SUM(C24,C48)</f>
        <v>9095.2842105263153</v>
      </c>
      <c r="D50" s="2">
        <f>SUM(D24,D48)</f>
        <v>21261.3</v>
      </c>
      <c r="E50" s="2">
        <f t="shared" ref="E50:BP50" si="8">SUM(E24,E48)</f>
        <v>6849.6</v>
      </c>
      <c r="F50" s="2" t="e">
        <f t="shared" si="8"/>
        <v>#DIV/0!</v>
      </c>
      <c r="G50" s="2">
        <f t="shared" si="8"/>
        <v>21</v>
      </c>
      <c r="H50" s="2" t="e">
        <f t="shared" si="8"/>
        <v>#DIV/0!</v>
      </c>
      <c r="I50" s="2" t="e">
        <f t="shared" si="8"/>
        <v>#DIV/0!</v>
      </c>
      <c r="J50" s="2" t="e">
        <f t="shared" si="8"/>
        <v>#DIV/0!</v>
      </c>
      <c r="K50" s="2" t="e">
        <f t="shared" si="8"/>
        <v>#DIV/0!</v>
      </c>
      <c r="L50" s="2">
        <f t="shared" si="8"/>
        <v>21</v>
      </c>
      <c r="M50" s="2">
        <f t="shared" si="8"/>
        <v>10472.450000000001</v>
      </c>
      <c r="N50" s="2">
        <f t="shared" si="8"/>
        <v>24504.3</v>
      </c>
      <c r="O50" s="2">
        <f t="shared" si="8"/>
        <v>7252.75</v>
      </c>
      <c r="P50" s="2" t="e">
        <f t="shared" si="8"/>
        <v>#DIV/0!</v>
      </c>
      <c r="Q50" s="2">
        <f t="shared" si="8"/>
        <v>21</v>
      </c>
      <c r="R50" s="2">
        <f t="shared" si="8"/>
        <v>9140.75</v>
      </c>
      <c r="S50" s="2">
        <f t="shared" si="8"/>
        <v>20795.849999999999</v>
      </c>
      <c r="T50" s="2">
        <f t="shared" si="8"/>
        <v>6843.45</v>
      </c>
      <c r="U50" s="2" t="e">
        <f t="shared" si="8"/>
        <v>#DIV/0!</v>
      </c>
      <c r="V50" s="2">
        <f t="shared" si="8"/>
        <v>17</v>
      </c>
      <c r="W50" s="2">
        <f t="shared" si="8"/>
        <v>12196.083333333332</v>
      </c>
      <c r="X50" s="2">
        <f t="shared" si="8"/>
        <v>31710.25</v>
      </c>
      <c r="Y50" s="2">
        <f t="shared" si="8"/>
        <v>8116.083333333333</v>
      </c>
      <c r="Z50" s="2" t="e">
        <f t="shared" si="8"/>
        <v>#DIV/0!</v>
      </c>
      <c r="AA50" s="2">
        <f t="shared" si="8"/>
        <v>21.05</v>
      </c>
      <c r="AB50" s="2">
        <f t="shared" si="8"/>
        <v>7089.5815789473681</v>
      </c>
      <c r="AC50" s="2">
        <f t="shared" si="8"/>
        <v>21098.55</v>
      </c>
      <c r="AD50" s="2">
        <f t="shared" si="8"/>
        <v>6180.3842105263157</v>
      </c>
      <c r="AE50" s="2" t="e">
        <f t="shared" si="8"/>
        <v>#DIV/0!</v>
      </c>
      <c r="AF50" s="2">
        <f t="shared" si="8"/>
        <v>21.05</v>
      </c>
      <c r="AG50" s="2">
        <f t="shared" si="8"/>
        <v>8701.85</v>
      </c>
      <c r="AH50" s="2">
        <f t="shared" si="8"/>
        <v>21542.799999999999</v>
      </c>
      <c r="AI50" s="2">
        <f t="shared" si="8"/>
        <v>6731.15</v>
      </c>
      <c r="AJ50" s="2" t="e">
        <f t="shared" si="8"/>
        <v>#DIV/0!</v>
      </c>
      <c r="AK50" s="2">
        <f t="shared" si="8"/>
        <v>21.05</v>
      </c>
      <c r="AL50" s="2">
        <f t="shared" si="8"/>
        <v>12075.95</v>
      </c>
      <c r="AM50" s="2">
        <f t="shared" si="8"/>
        <v>28259.55</v>
      </c>
      <c r="AN50" s="2">
        <f t="shared" si="8"/>
        <v>8289.1</v>
      </c>
      <c r="AO50" s="2" t="e">
        <f t="shared" si="8"/>
        <v>#DIV/0!</v>
      </c>
      <c r="AP50" s="2">
        <f t="shared" si="8"/>
        <v>21.05</v>
      </c>
      <c r="AQ50" s="2">
        <f t="shared" si="8"/>
        <v>10705.15</v>
      </c>
      <c r="AR50" s="2">
        <f t="shared" si="8"/>
        <v>23294.400000000001</v>
      </c>
      <c r="AS50" s="2">
        <f t="shared" si="8"/>
        <v>7711.3</v>
      </c>
      <c r="AT50" s="2" t="e">
        <f t="shared" si="8"/>
        <v>#DIV/0!</v>
      </c>
      <c r="AU50" s="2">
        <f t="shared" si="8"/>
        <v>17.5</v>
      </c>
      <c r="AV50" s="2">
        <f t="shared" si="8"/>
        <v>10646.615384615385</v>
      </c>
      <c r="AW50" s="2">
        <f t="shared" si="8"/>
        <v>28267</v>
      </c>
      <c r="AX50" s="2">
        <f t="shared" si="8"/>
        <v>8168.2307692307695</v>
      </c>
      <c r="AY50" s="2" t="e">
        <f t="shared" si="8"/>
        <v>#DIV/0!</v>
      </c>
      <c r="AZ50" s="2">
        <f t="shared" si="8"/>
        <v>14.5</v>
      </c>
      <c r="BA50" s="2">
        <f t="shared" si="8"/>
        <v>8202.4285714285725</v>
      </c>
      <c r="BB50" s="2">
        <f t="shared" si="8"/>
        <v>19114.428571428572</v>
      </c>
      <c r="BC50" s="2">
        <f t="shared" si="8"/>
        <v>5756</v>
      </c>
      <c r="BD50" s="2" t="e">
        <f t="shared" si="8"/>
        <v>#DIV/0!</v>
      </c>
      <c r="BE50" s="2">
        <f t="shared" si="8"/>
        <v>21</v>
      </c>
      <c r="BF50" s="2">
        <f t="shared" si="8"/>
        <v>16008.6</v>
      </c>
      <c r="BG50" s="2">
        <f t="shared" si="8"/>
        <v>27676.85</v>
      </c>
      <c r="BH50" s="2">
        <f t="shared" si="8"/>
        <v>8882.4500000000007</v>
      </c>
      <c r="BI50" s="2" t="e">
        <f t="shared" si="8"/>
        <v>#DIV/0!</v>
      </c>
      <c r="BJ50" s="2">
        <f t="shared" si="8"/>
        <v>15</v>
      </c>
      <c r="BK50" s="2">
        <f t="shared" si="8"/>
        <v>12540.375</v>
      </c>
      <c r="BL50" s="2">
        <f t="shared" si="8"/>
        <v>23355</v>
      </c>
      <c r="BM50" s="2">
        <f t="shared" si="8"/>
        <v>7267.625</v>
      </c>
      <c r="BN50" s="2" t="e">
        <f t="shared" si="8"/>
        <v>#DIV/0!</v>
      </c>
      <c r="BO50" s="2">
        <f t="shared" si="8"/>
        <v>14.5</v>
      </c>
      <c r="BP50" s="2">
        <f t="shared" si="8"/>
        <v>8898.2857142857138</v>
      </c>
      <c r="BQ50" s="2">
        <f t="shared" ref="BQ50:EB50" si="9">SUM(BQ24,BQ48)</f>
        <v>19632.857142857145</v>
      </c>
      <c r="BR50" s="2">
        <f t="shared" si="9"/>
        <v>6032.4285714285706</v>
      </c>
      <c r="BS50" s="2" t="e">
        <f t="shared" si="9"/>
        <v>#DIV/0!</v>
      </c>
      <c r="BT50" s="2">
        <f t="shared" si="9"/>
        <v>17</v>
      </c>
      <c r="BU50" s="2">
        <f t="shared" si="9"/>
        <v>9309.1666666666661</v>
      </c>
      <c r="BV50" s="2">
        <f t="shared" si="9"/>
        <v>21609.666666666668</v>
      </c>
      <c r="BW50" s="2">
        <f t="shared" si="9"/>
        <v>6998.833333333333</v>
      </c>
      <c r="BX50" s="2" t="e">
        <f t="shared" si="9"/>
        <v>#DIV/0!</v>
      </c>
      <c r="BY50" s="2" t="e">
        <f t="shared" si="9"/>
        <v>#DIV/0!</v>
      </c>
      <c r="BZ50" s="2" t="e">
        <f t="shared" si="9"/>
        <v>#DIV/0!</v>
      </c>
      <c r="CA50" s="2">
        <f t="shared" si="9"/>
        <v>21.5</v>
      </c>
      <c r="CB50" s="2">
        <f>SUM(CB24,CB48)</f>
        <v>17727.297385620914</v>
      </c>
      <c r="CC50" s="2">
        <f>SUM(CC24,CC48)</f>
        <v>29921.176470588238</v>
      </c>
      <c r="CD50" s="2">
        <f t="shared" si="9"/>
        <v>8482.0424836601305</v>
      </c>
      <c r="CE50" s="2" t="e">
        <f t="shared" si="9"/>
        <v>#DIV/0!</v>
      </c>
      <c r="CF50" s="2">
        <f t="shared" si="9"/>
        <v>21.5</v>
      </c>
      <c r="CG50" s="2">
        <f>SUM(CG24,CG48)</f>
        <v>19219.526315789473</v>
      </c>
      <c r="CH50" s="2">
        <f t="shared" si="9"/>
        <v>32435.052631578947</v>
      </c>
      <c r="CI50" s="2">
        <f t="shared" si="9"/>
        <v>8800.8421052631584</v>
      </c>
      <c r="CJ50" s="2" t="e">
        <f t="shared" si="9"/>
        <v>#DIV/0!</v>
      </c>
      <c r="CK50" s="2">
        <f t="shared" si="9"/>
        <v>21.5</v>
      </c>
      <c r="CL50" s="2">
        <f t="shared" si="9"/>
        <v>34466.947368421053</v>
      </c>
      <c r="CM50" s="2">
        <f t="shared" si="9"/>
        <v>44085.639473684205</v>
      </c>
      <c r="CN50" s="2">
        <f t="shared" si="9"/>
        <v>12071.663157894736</v>
      </c>
      <c r="CO50" s="2" t="e">
        <f t="shared" si="9"/>
        <v>#DIV/0!</v>
      </c>
      <c r="CP50" s="2">
        <f t="shared" si="9"/>
        <v>21.5</v>
      </c>
      <c r="CQ50" s="2">
        <f t="shared" si="9"/>
        <v>21966.036842105263</v>
      </c>
      <c r="CR50" s="2">
        <f t="shared" si="9"/>
        <v>35956.452631578948</v>
      </c>
      <c r="CS50" s="2">
        <f t="shared" si="9"/>
        <v>10017.776315789473</v>
      </c>
      <c r="CT50" s="2" t="e">
        <f t="shared" si="9"/>
        <v>#DIV/0!</v>
      </c>
      <c r="CU50" s="2">
        <f t="shared" si="9"/>
        <v>21.5</v>
      </c>
      <c r="CV50" s="2">
        <f t="shared" si="9"/>
        <v>20321.681818181816</v>
      </c>
      <c r="CW50" s="2">
        <f t="shared" si="9"/>
        <v>36507.083333333328</v>
      </c>
      <c r="CX50" s="2">
        <f t="shared" si="9"/>
        <v>9845.5984848484841</v>
      </c>
      <c r="CY50" s="2" t="e">
        <f t="shared" si="9"/>
        <v>#DIV/0!</v>
      </c>
      <c r="CZ50" s="2">
        <f t="shared" si="9"/>
        <v>21.5</v>
      </c>
      <c r="DA50" s="2">
        <f t="shared" si="9"/>
        <v>19667.257894736842</v>
      </c>
      <c r="DB50" s="2">
        <f t="shared" si="9"/>
        <v>33351.131578947367</v>
      </c>
      <c r="DC50" s="2">
        <f t="shared" si="9"/>
        <v>8891.1263157894737</v>
      </c>
      <c r="DD50" s="2" t="e">
        <f t="shared" si="9"/>
        <v>#DIV/0!</v>
      </c>
      <c r="DE50" s="2">
        <f t="shared" si="9"/>
        <v>21.5</v>
      </c>
      <c r="DF50" s="2">
        <f t="shared" si="9"/>
        <v>21066.744736842105</v>
      </c>
      <c r="DG50" s="2">
        <f t="shared" si="9"/>
        <v>34051.947368421053</v>
      </c>
      <c r="DH50" s="2">
        <f t="shared" si="9"/>
        <v>9636.0815789473672</v>
      </c>
      <c r="DI50" s="2" t="e">
        <f t="shared" si="9"/>
        <v>#DIV/0!</v>
      </c>
      <c r="DJ50" s="2">
        <f t="shared" si="9"/>
        <v>21.5</v>
      </c>
      <c r="DK50" s="2">
        <f t="shared" si="9"/>
        <v>30130.868421052633</v>
      </c>
      <c r="DL50" s="2">
        <f t="shared" si="9"/>
        <v>45583.697368421053</v>
      </c>
      <c r="DM50" s="2">
        <f t="shared" si="9"/>
        <v>11430.5</v>
      </c>
      <c r="DN50" s="2" t="e">
        <f t="shared" si="9"/>
        <v>#DIV/0!</v>
      </c>
      <c r="DO50" s="2">
        <f t="shared" si="9"/>
        <v>21.5</v>
      </c>
      <c r="DP50" s="2">
        <f t="shared" si="9"/>
        <v>29773.85</v>
      </c>
      <c r="DQ50" s="2">
        <f t="shared" si="9"/>
        <v>44034.673684210531</v>
      </c>
      <c r="DR50" s="2">
        <f t="shared" si="9"/>
        <v>11497.044736842105</v>
      </c>
      <c r="DS50" s="2" t="e">
        <f t="shared" si="9"/>
        <v>#DIV/0!</v>
      </c>
      <c r="DT50" s="2">
        <f t="shared" si="9"/>
        <v>21.5</v>
      </c>
      <c r="DU50" s="2">
        <f t="shared" si="9"/>
        <v>27220.916666666664</v>
      </c>
      <c r="DV50" s="2">
        <f t="shared" si="9"/>
        <v>42135.977272727272</v>
      </c>
      <c r="DW50" s="2">
        <f t="shared" si="9"/>
        <v>11194.742424242424</v>
      </c>
      <c r="DX50" s="2" t="e">
        <f t="shared" si="9"/>
        <v>#DIV/0!</v>
      </c>
      <c r="DY50" s="2">
        <f t="shared" si="9"/>
        <v>21.5</v>
      </c>
      <c r="DZ50" s="2">
        <f t="shared" si="9"/>
        <v>12112.880952380952</v>
      </c>
      <c r="EA50" s="2">
        <f t="shared" si="9"/>
        <v>22038.142857142855</v>
      </c>
      <c r="EB50" s="2">
        <f t="shared" si="9"/>
        <v>6371.3095238095239</v>
      </c>
      <c r="EC50" s="2" t="e">
        <f t="shared" ref="EC50:GN50" si="10">SUM(EC24,EC48)</f>
        <v>#DIV/0!</v>
      </c>
      <c r="ED50" s="2">
        <f t="shared" si="10"/>
        <v>21.5</v>
      </c>
      <c r="EE50" s="2">
        <f t="shared" si="10"/>
        <v>39576.486842105267</v>
      </c>
      <c r="EF50" s="2">
        <f t="shared" si="10"/>
        <v>41677.321052631582</v>
      </c>
      <c r="EG50" s="2">
        <f t="shared" si="10"/>
        <v>12219.781578947368</v>
      </c>
      <c r="EH50" s="2" t="e">
        <f t="shared" si="10"/>
        <v>#DIV/0!</v>
      </c>
      <c r="EI50" s="2">
        <f t="shared" si="10"/>
        <v>21.5</v>
      </c>
      <c r="EJ50" s="2">
        <f t="shared" si="10"/>
        <v>32068.125</v>
      </c>
      <c r="EK50" s="2">
        <f t="shared" si="10"/>
        <v>37722.16071428571</v>
      </c>
      <c r="EL50" s="2">
        <f t="shared" si="10"/>
        <v>10609.178571428572</v>
      </c>
      <c r="EM50" s="2" t="e">
        <f t="shared" si="10"/>
        <v>#DIV/0!</v>
      </c>
      <c r="EN50" s="2">
        <f t="shared" si="10"/>
        <v>21.5</v>
      </c>
      <c r="EO50" s="2">
        <f t="shared" si="10"/>
        <v>21714.966666666667</v>
      </c>
      <c r="EP50" s="2">
        <f t="shared" si="10"/>
        <v>30278.3</v>
      </c>
      <c r="EQ50" s="2">
        <f t="shared" si="10"/>
        <v>8907.6</v>
      </c>
      <c r="ER50" s="2" t="e">
        <f t="shared" si="10"/>
        <v>#DIV/0!</v>
      </c>
      <c r="ES50" s="2">
        <f t="shared" si="10"/>
        <v>21.5</v>
      </c>
      <c r="ET50" s="2">
        <f t="shared" si="10"/>
        <v>22754.166666666664</v>
      </c>
      <c r="EU50" s="2">
        <f t="shared" si="10"/>
        <v>35517.106060606064</v>
      </c>
      <c r="EV50" s="2">
        <f t="shared" si="10"/>
        <v>10236.39393939394</v>
      </c>
      <c r="EW50" s="2" t="e">
        <f t="shared" si="10"/>
        <v>#DIV/0!</v>
      </c>
      <c r="EX50" s="2" t="e">
        <f t="shared" si="10"/>
        <v>#DIV/0!</v>
      </c>
      <c r="EY50" s="2" t="e">
        <f t="shared" si="10"/>
        <v>#DIV/0!</v>
      </c>
      <c r="EZ50" s="2">
        <f t="shared" si="10"/>
        <v>22</v>
      </c>
      <c r="FA50" s="2">
        <f t="shared" si="10"/>
        <v>27449.5</v>
      </c>
      <c r="FB50" s="2">
        <f t="shared" si="10"/>
        <v>48338</v>
      </c>
      <c r="FC50" s="2">
        <f t="shared" si="10"/>
        <v>10810.666666666668</v>
      </c>
      <c r="FD50" s="2" t="e">
        <f t="shared" si="10"/>
        <v>#DIV/0!</v>
      </c>
      <c r="FE50" s="2">
        <f t="shared" si="10"/>
        <v>22</v>
      </c>
      <c r="FF50" s="2">
        <f t="shared" si="10"/>
        <v>36362.15789473684</v>
      </c>
      <c r="FG50" s="2">
        <f t="shared" si="10"/>
        <v>51240.578947368427</v>
      </c>
      <c r="FH50" s="2">
        <f t="shared" si="10"/>
        <v>11750.631578947368</v>
      </c>
      <c r="FI50" s="2" t="e">
        <f t="shared" si="10"/>
        <v>#DIV/0!</v>
      </c>
      <c r="FJ50" s="2">
        <f t="shared" si="10"/>
        <v>22</v>
      </c>
      <c r="FK50" s="2">
        <f t="shared" si="10"/>
        <v>70606.784313725497</v>
      </c>
      <c r="FL50" s="2">
        <f t="shared" si="10"/>
        <v>72945.983660130718</v>
      </c>
      <c r="FM50" s="2">
        <f t="shared" si="10"/>
        <v>16181.091503267973</v>
      </c>
      <c r="FN50" s="2" t="e">
        <f t="shared" si="10"/>
        <v>#DIV/0!</v>
      </c>
      <c r="FO50" s="2">
        <f t="shared" si="10"/>
        <v>22</v>
      </c>
      <c r="FP50" s="2">
        <f t="shared" si="10"/>
        <v>47405.789473684214</v>
      </c>
      <c r="FQ50" s="2">
        <f t="shared" si="10"/>
        <v>55898.68421052632</v>
      </c>
      <c r="FR50" s="2">
        <f t="shared" si="10"/>
        <v>13252.473684210527</v>
      </c>
      <c r="FS50" s="2" t="e">
        <f t="shared" si="10"/>
        <v>#DIV/0!</v>
      </c>
      <c r="FT50" s="2">
        <f t="shared" si="10"/>
        <v>22</v>
      </c>
      <c r="FU50" s="2">
        <f t="shared" si="10"/>
        <v>28570.142857142855</v>
      </c>
      <c r="FV50" s="2">
        <f t="shared" si="10"/>
        <v>50641.142857142855</v>
      </c>
      <c r="FW50" s="2">
        <f t="shared" si="10"/>
        <v>10731.428571428572</v>
      </c>
      <c r="FX50" s="2" t="e">
        <f t="shared" si="10"/>
        <v>#DIV/0!</v>
      </c>
      <c r="FY50" s="2">
        <f t="shared" si="10"/>
        <v>22</v>
      </c>
      <c r="FZ50" s="2">
        <f t="shared" si="10"/>
        <v>29725.285714285714</v>
      </c>
      <c r="GA50" s="2">
        <f t="shared" si="10"/>
        <v>43562.428571428572</v>
      </c>
      <c r="GB50" s="2">
        <f t="shared" si="10"/>
        <v>10647.285714285714</v>
      </c>
      <c r="GC50" s="2" t="e">
        <f t="shared" si="10"/>
        <v>#DIV/0!</v>
      </c>
      <c r="GD50" s="2">
        <f t="shared" si="10"/>
        <v>22</v>
      </c>
      <c r="GE50" s="2">
        <f t="shared" si="10"/>
        <v>39997.117647058825</v>
      </c>
      <c r="GF50" s="2">
        <f t="shared" si="10"/>
        <v>47221.823529411762</v>
      </c>
      <c r="GG50" s="2">
        <f t="shared" si="10"/>
        <v>11652.941176470587</v>
      </c>
      <c r="GH50" s="2" t="e">
        <f t="shared" si="10"/>
        <v>#DIV/0!</v>
      </c>
      <c r="GI50" s="2">
        <f t="shared" si="10"/>
        <v>22</v>
      </c>
      <c r="GJ50" s="2">
        <f t="shared" si="10"/>
        <v>74858.411764705874</v>
      </c>
      <c r="GK50" s="2">
        <f t="shared" si="10"/>
        <v>80141.176470588238</v>
      </c>
      <c r="GL50" s="2">
        <f t="shared" si="10"/>
        <v>16350.705882352941</v>
      </c>
      <c r="GM50" s="2" t="e">
        <f t="shared" si="10"/>
        <v>#DIV/0!</v>
      </c>
      <c r="GN50" s="2">
        <f t="shared" si="10"/>
        <v>22</v>
      </c>
      <c r="GO50" s="2">
        <f t="shared" ref="GO50:HU50" si="11">SUM(GO24,GO48)</f>
        <v>74800.588235294126</v>
      </c>
      <c r="GP50" s="2">
        <f t="shared" si="11"/>
        <v>84732.882352941175</v>
      </c>
      <c r="GQ50" s="2">
        <f t="shared" si="11"/>
        <v>16594.411764705881</v>
      </c>
      <c r="GR50" s="2" t="e">
        <f t="shared" si="11"/>
        <v>#DIV/0!</v>
      </c>
      <c r="GS50" s="2">
        <f t="shared" si="11"/>
        <v>22</v>
      </c>
      <c r="GT50" s="2">
        <f t="shared" si="11"/>
        <v>39273.833333333328</v>
      </c>
      <c r="GU50" s="2">
        <f t="shared" si="11"/>
        <v>48117.333333333336</v>
      </c>
      <c r="GV50" s="2">
        <f t="shared" si="11"/>
        <v>13465.5</v>
      </c>
      <c r="GW50" s="2" t="e">
        <f t="shared" si="11"/>
        <v>#DIV/0!</v>
      </c>
      <c r="GX50" s="2">
        <f t="shared" si="11"/>
        <v>22</v>
      </c>
      <c r="GY50" s="2">
        <f t="shared" si="11"/>
        <v>15550</v>
      </c>
      <c r="GZ50" s="2">
        <f t="shared" si="11"/>
        <v>26172.799999999999</v>
      </c>
      <c r="HA50" s="2">
        <f t="shared" si="11"/>
        <v>7513.4</v>
      </c>
      <c r="HB50" s="2" t="e">
        <f t="shared" si="11"/>
        <v>#DIV/0!</v>
      </c>
      <c r="HC50" s="2">
        <f t="shared" si="11"/>
        <v>22</v>
      </c>
      <c r="HD50" s="2">
        <f t="shared" si="11"/>
        <v>88275.76470588235</v>
      </c>
      <c r="HE50" s="2">
        <f t="shared" si="11"/>
        <v>73726</v>
      </c>
      <c r="HF50" s="2">
        <f t="shared" si="11"/>
        <v>17570.411764705881</v>
      </c>
      <c r="HG50" s="2" t="e">
        <f t="shared" si="11"/>
        <v>#DIV/0!</v>
      </c>
      <c r="HH50" s="2">
        <f t="shared" si="11"/>
        <v>22</v>
      </c>
      <c r="HI50" s="2">
        <f t="shared" si="11"/>
        <v>72840.142857142855</v>
      </c>
      <c r="HJ50" s="2">
        <f t="shared" si="11"/>
        <v>60607.571428571435</v>
      </c>
      <c r="HK50" s="2">
        <f t="shared" si="11"/>
        <v>15569.571428571428</v>
      </c>
      <c r="HL50" s="2" t="e">
        <f t="shared" si="11"/>
        <v>#DIV/0!</v>
      </c>
      <c r="HM50" s="2">
        <f t="shared" si="11"/>
        <v>22</v>
      </c>
      <c r="HN50" s="2">
        <f t="shared" si="11"/>
        <v>67074</v>
      </c>
      <c r="HO50" s="2">
        <f t="shared" si="11"/>
        <v>66502</v>
      </c>
      <c r="HP50" s="2">
        <f t="shared" si="11"/>
        <v>16155.5</v>
      </c>
      <c r="HQ50" s="2" t="e">
        <f t="shared" si="11"/>
        <v>#DIV/0!</v>
      </c>
      <c r="HR50" s="2">
        <f t="shared" si="11"/>
        <v>22</v>
      </c>
      <c r="HS50" s="2">
        <f t="shared" si="11"/>
        <v>46728.788888888892</v>
      </c>
      <c r="HT50" s="2">
        <f t="shared" si="11"/>
        <v>58483.5</v>
      </c>
      <c r="HU50" s="2">
        <f t="shared" si="11"/>
        <v>13460.2</v>
      </c>
    </row>
    <row r="51" spans="2:229" x14ac:dyDescent="0.25">
      <c r="C51" s="2"/>
      <c r="D51" s="2"/>
      <c r="E51" s="2"/>
    </row>
    <row r="52" spans="2:229" x14ac:dyDescent="0.25">
      <c r="CB52" s="2">
        <f t="shared" ref="CB52:DG52" si="12">CB50-C50</f>
        <v>8632.0131750945984</v>
      </c>
      <c r="CC52" s="2">
        <f t="shared" si="12"/>
        <v>8659.8764705882386</v>
      </c>
      <c r="CD52" s="2">
        <f t="shared" si="12"/>
        <v>1632.4424836601302</v>
      </c>
      <c r="CE52" s="2" t="e">
        <f t="shared" si="12"/>
        <v>#DIV/0!</v>
      </c>
      <c r="CF52" s="2">
        <f t="shared" si="12"/>
        <v>0.5</v>
      </c>
      <c r="CG52" s="2" t="e">
        <f t="shared" si="12"/>
        <v>#DIV/0!</v>
      </c>
      <c r="CH52" s="2" t="e">
        <f t="shared" si="12"/>
        <v>#DIV/0!</v>
      </c>
      <c r="CI52" s="2" t="e">
        <f t="shared" si="12"/>
        <v>#DIV/0!</v>
      </c>
      <c r="CJ52" s="2" t="e">
        <f t="shared" si="12"/>
        <v>#DIV/0!</v>
      </c>
      <c r="CK52" s="2">
        <f t="shared" si="12"/>
        <v>0.5</v>
      </c>
      <c r="CL52" s="2">
        <f t="shared" si="12"/>
        <v>23994.497368421053</v>
      </c>
      <c r="CM52" s="2">
        <f t="shared" si="12"/>
        <v>19581.339473684206</v>
      </c>
      <c r="CN52" s="2">
        <f t="shared" si="12"/>
        <v>4818.9131578947363</v>
      </c>
      <c r="CO52" s="2" t="e">
        <f t="shared" si="12"/>
        <v>#DIV/0!</v>
      </c>
      <c r="CP52" s="2">
        <f t="shared" si="12"/>
        <v>0.5</v>
      </c>
      <c r="CQ52" s="2">
        <f t="shared" si="12"/>
        <v>12825.286842105263</v>
      </c>
      <c r="CR52" s="2">
        <f t="shared" si="12"/>
        <v>15160.60263157895</v>
      </c>
      <c r="CS52" s="2">
        <f t="shared" si="12"/>
        <v>3174.3263157894735</v>
      </c>
      <c r="CT52" s="2" t="e">
        <f t="shared" si="12"/>
        <v>#DIV/0!</v>
      </c>
      <c r="CU52" s="2">
        <f t="shared" si="12"/>
        <v>4.5</v>
      </c>
      <c r="CV52" s="2">
        <f t="shared" si="12"/>
        <v>8125.5984848484841</v>
      </c>
      <c r="CW52" s="2">
        <f t="shared" si="12"/>
        <v>4796.8333333333285</v>
      </c>
      <c r="CX52" s="2">
        <f t="shared" si="12"/>
        <v>1729.515151515151</v>
      </c>
      <c r="CY52" s="2" t="e">
        <f t="shared" si="12"/>
        <v>#DIV/0!</v>
      </c>
      <c r="CZ52" s="2">
        <f t="shared" si="12"/>
        <v>0.44999999999999929</v>
      </c>
      <c r="DA52" s="2">
        <f t="shared" si="12"/>
        <v>12577.676315789475</v>
      </c>
      <c r="DB52" s="2">
        <f t="shared" si="12"/>
        <v>12252.581578947367</v>
      </c>
      <c r="DC52" s="2">
        <f t="shared" si="12"/>
        <v>2710.742105263158</v>
      </c>
      <c r="DD52" s="2" t="e">
        <f t="shared" si="12"/>
        <v>#DIV/0!</v>
      </c>
      <c r="DE52" s="2">
        <f t="shared" si="12"/>
        <v>0.44999999999999929</v>
      </c>
      <c r="DF52" s="2">
        <f t="shared" si="12"/>
        <v>12364.894736842105</v>
      </c>
      <c r="DG52" s="2">
        <f t="shared" si="12"/>
        <v>12509.147368421054</v>
      </c>
      <c r="DH52" s="2">
        <f t="shared" ref="DH52:EM52" si="13">DH50-AI50</f>
        <v>2904.9315789473676</v>
      </c>
      <c r="DI52" s="2" t="e">
        <f t="shared" si="13"/>
        <v>#DIV/0!</v>
      </c>
      <c r="DJ52" s="2">
        <f t="shared" si="13"/>
        <v>0.44999999999999929</v>
      </c>
      <c r="DK52" s="2">
        <f t="shared" si="13"/>
        <v>18054.918421052633</v>
      </c>
      <c r="DL52" s="2">
        <f t="shared" si="13"/>
        <v>17324.147368421054</v>
      </c>
      <c r="DM52" s="2">
        <f t="shared" si="13"/>
        <v>3141.3999999999996</v>
      </c>
      <c r="DN52" s="2" t="e">
        <f t="shared" si="13"/>
        <v>#DIV/0!</v>
      </c>
      <c r="DO52" s="2">
        <f t="shared" si="13"/>
        <v>0.44999999999999929</v>
      </c>
      <c r="DP52" s="2">
        <f t="shared" si="13"/>
        <v>19068.699999999997</v>
      </c>
      <c r="DQ52" s="2">
        <f t="shared" si="13"/>
        <v>20740.27368421053</v>
      </c>
      <c r="DR52" s="2">
        <f t="shared" si="13"/>
        <v>3785.7447368421044</v>
      </c>
      <c r="DS52" s="2" t="e">
        <f t="shared" si="13"/>
        <v>#DIV/0!</v>
      </c>
      <c r="DT52" s="2">
        <f t="shared" si="13"/>
        <v>4</v>
      </c>
      <c r="DU52" s="2">
        <f t="shared" si="13"/>
        <v>16574.301282051281</v>
      </c>
      <c r="DV52" s="2">
        <f t="shared" si="13"/>
        <v>13868.977272727272</v>
      </c>
      <c r="DW52" s="2">
        <f t="shared" si="13"/>
        <v>3026.5116550116545</v>
      </c>
      <c r="DX52" s="2" t="e">
        <f t="shared" si="13"/>
        <v>#DIV/0!</v>
      </c>
      <c r="DY52" s="2">
        <f t="shared" si="13"/>
        <v>7</v>
      </c>
      <c r="DZ52" s="2">
        <f t="shared" si="13"/>
        <v>3910.4523809523798</v>
      </c>
      <c r="EA52" s="2">
        <f t="shared" si="13"/>
        <v>2923.7142857142826</v>
      </c>
      <c r="EB52" s="2">
        <f t="shared" si="13"/>
        <v>615.30952380952385</v>
      </c>
      <c r="EC52" s="2" t="e">
        <f t="shared" si="13"/>
        <v>#DIV/0!</v>
      </c>
      <c r="ED52" s="2">
        <f t="shared" si="13"/>
        <v>0.5</v>
      </c>
      <c r="EE52" s="2">
        <f t="shared" si="13"/>
        <v>23567.886842105268</v>
      </c>
      <c r="EF52" s="2">
        <f t="shared" si="13"/>
        <v>14000.471052631583</v>
      </c>
      <c r="EG52" s="2">
        <f t="shared" si="13"/>
        <v>3337.3315789473672</v>
      </c>
      <c r="EH52" s="2" t="e">
        <f t="shared" si="13"/>
        <v>#DIV/0!</v>
      </c>
      <c r="EI52" s="2">
        <f t="shared" si="13"/>
        <v>6.5</v>
      </c>
      <c r="EJ52" s="2">
        <f t="shared" si="13"/>
        <v>19527.75</v>
      </c>
      <c r="EK52" s="2">
        <f t="shared" si="13"/>
        <v>14367.16071428571</v>
      </c>
      <c r="EL52" s="2">
        <f t="shared" si="13"/>
        <v>3341.5535714285725</v>
      </c>
      <c r="EM52" s="2" t="e">
        <f t="shared" si="13"/>
        <v>#DIV/0!</v>
      </c>
      <c r="EN52" s="2">
        <f t="shared" ref="EN52:FS52" si="14">EN50-BO50</f>
        <v>7</v>
      </c>
      <c r="EO52" s="2">
        <f t="shared" si="14"/>
        <v>12816.680952380953</v>
      </c>
      <c r="EP52" s="2">
        <f t="shared" si="14"/>
        <v>10645.442857142854</v>
      </c>
      <c r="EQ52" s="2">
        <f t="shared" si="14"/>
        <v>2875.1714285714297</v>
      </c>
      <c r="ER52" s="2" t="e">
        <f t="shared" si="14"/>
        <v>#DIV/0!</v>
      </c>
      <c r="ES52" s="2">
        <f t="shared" si="14"/>
        <v>4.5</v>
      </c>
      <c r="ET52" s="2">
        <f t="shared" si="14"/>
        <v>13444.999999999998</v>
      </c>
      <c r="EU52" s="2">
        <f t="shared" si="14"/>
        <v>13907.439393939396</v>
      </c>
      <c r="EV52" s="2">
        <f t="shared" si="14"/>
        <v>3237.5606060606069</v>
      </c>
      <c r="EW52" s="2" t="e">
        <f t="shared" si="14"/>
        <v>#DIV/0!</v>
      </c>
      <c r="EX52" s="2" t="e">
        <f t="shared" si="14"/>
        <v>#DIV/0!</v>
      </c>
      <c r="EY52" s="2" t="e">
        <f t="shared" si="14"/>
        <v>#DIV/0!</v>
      </c>
      <c r="EZ52" s="2">
        <f t="shared" si="14"/>
        <v>0.5</v>
      </c>
      <c r="FA52" s="2">
        <f t="shared" si="14"/>
        <v>9722.2026143790863</v>
      </c>
      <c r="FB52" s="2">
        <f t="shared" si="14"/>
        <v>18416.823529411762</v>
      </c>
      <c r="FC52" s="2">
        <f t="shared" si="14"/>
        <v>2328.6241830065374</v>
      </c>
      <c r="FD52" s="2" t="e">
        <f t="shared" si="14"/>
        <v>#DIV/0!</v>
      </c>
      <c r="FE52" s="2">
        <f t="shared" si="14"/>
        <v>0.5</v>
      </c>
      <c r="FF52" s="2">
        <f t="shared" si="14"/>
        <v>17142.631578947367</v>
      </c>
      <c r="FG52" s="2">
        <f t="shared" si="14"/>
        <v>18805.526315789481</v>
      </c>
      <c r="FH52" s="2">
        <f t="shared" si="14"/>
        <v>2949.78947368421</v>
      </c>
      <c r="FI52" s="2" t="e">
        <f t="shared" si="14"/>
        <v>#DIV/0!</v>
      </c>
      <c r="FJ52" s="2">
        <f t="shared" si="14"/>
        <v>0.5</v>
      </c>
      <c r="FK52" s="2">
        <f t="shared" si="14"/>
        <v>36139.836945304443</v>
      </c>
      <c r="FL52" s="2">
        <f t="shared" si="14"/>
        <v>28860.344186446513</v>
      </c>
      <c r="FM52" s="2">
        <f t="shared" si="14"/>
        <v>4109.4283453732369</v>
      </c>
      <c r="FN52" s="2" t="e">
        <f t="shared" si="14"/>
        <v>#DIV/0!</v>
      </c>
      <c r="FO52" s="2">
        <f t="shared" si="14"/>
        <v>0.5</v>
      </c>
      <c r="FP52" s="2">
        <f t="shared" si="14"/>
        <v>25439.752631578951</v>
      </c>
      <c r="FQ52" s="2">
        <f t="shared" si="14"/>
        <v>19942.231578947372</v>
      </c>
      <c r="FR52" s="2">
        <f t="shared" si="14"/>
        <v>3234.6973684210534</v>
      </c>
      <c r="FS52" s="2" t="e">
        <f t="shared" si="14"/>
        <v>#DIV/0!</v>
      </c>
      <c r="FT52" s="2">
        <f t="shared" ref="FT52:GY52" si="15">FT50-CU50</f>
        <v>0.5</v>
      </c>
      <c r="FU52" s="2">
        <f t="shared" si="15"/>
        <v>8248.4610389610389</v>
      </c>
      <c r="FV52" s="2">
        <f t="shared" si="15"/>
        <v>14134.059523809527</v>
      </c>
      <c r="FW52" s="2">
        <f t="shared" si="15"/>
        <v>885.83008658008839</v>
      </c>
      <c r="FX52" s="2" t="e">
        <f t="shared" si="15"/>
        <v>#DIV/0!</v>
      </c>
      <c r="FY52" s="2">
        <f t="shared" si="15"/>
        <v>0.5</v>
      </c>
      <c r="FZ52" s="2">
        <f t="shared" si="15"/>
        <v>10058.027819548872</v>
      </c>
      <c r="GA52" s="2">
        <f t="shared" si="15"/>
        <v>10211.296992481206</v>
      </c>
      <c r="GB52" s="2">
        <f t="shared" si="15"/>
        <v>1756.1593984962401</v>
      </c>
      <c r="GC52" s="2" t="e">
        <f t="shared" si="15"/>
        <v>#DIV/0!</v>
      </c>
      <c r="GD52" s="2">
        <f t="shared" si="15"/>
        <v>0.5</v>
      </c>
      <c r="GE52" s="2">
        <f t="shared" si="15"/>
        <v>18930.37291021672</v>
      </c>
      <c r="GF52" s="2">
        <f t="shared" si="15"/>
        <v>13169.876160990709</v>
      </c>
      <c r="GG52" s="2">
        <f t="shared" si="15"/>
        <v>2016.8595975232201</v>
      </c>
      <c r="GH52" s="2" t="e">
        <f t="shared" si="15"/>
        <v>#DIV/0!</v>
      </c>
      <c r="GI52" s="2">
        <f t="shared" si="15"/>
        <v>0.5</v>
      </c>
      <c r="GJ52" s="2">
        <f t="shared" si="15"/>
        <v>44727.54334365324</v>
      </c>
      <c r="GK52" s="2">
        <f t="shared" si="15"/>
        <v>34557.479102167184</v>
      </c>
      <c r="GL52" s="2">
        <f t="shared" si="15"/>
        <v>4920.2058823529405</v>
      </c>
      <c r="GM52" s="2" t="e">
        <f t="shared" si="15"/>
        <v>#DIV/0!</v>
      </c>
      <c r="GN52" s="2">
        <f t="shared" si="15"/>
        <v>0.5</v>
      </c>
      <c r="GO52" s="2">
        <f t="shared" si="15"/>
        <v>45026.738235294128</v>
      </c>
      <c r="GP52" s="2">
        <f t="shared" si="15"/>
        <v>40698.208668730644</v>
      </c>
      <c r="GQ52" s="2">
        <f t="shared" si="15"/>
        <v>5097.3670278637765</v>
      </c>
      <c r="GR52" s="2" t="e">
        <f t="shared" si="15"/>
        <v>#DIV/0!</v>
      </c>
      <c r="GS52" s="2">
        <f t="shared" si="15"/>
        <v>0.5</v>
      </c>
      <c r="GT52" s="2">
        <f t="shared" si="15"/>
        <v>12052.916666666664</v>
      </c>
      <c r="GU52" s="2">
        <f t="shared" si="15"/>
        <v>5981.3560606060637</v>
      </c>
      <c r="GV52" s="2">
        <f t="shared" si="15"/>
        <v>2270.757575757576</v>
      </c>
      <c r="GW52" s="2" t="e">
        <f t="shared" si="15"/>
        <v>#DIV/0!</v>
      </c>
      <c r="GX52" s="2">
        <f t="shared" si="15"/>
        <v>0.5</v>
      </c>
      <c r="GY52" s="2">
        <f t="shared" si="15"/>
        <v>3437.1190476190477</v>
      </c>
      <c r="GZ52" s="2">
        <f t="shared" ref="GZ52:HU52" si="16">GZ50-EA50</f>
        <v>4134.6571428571442</v>
      </c>
      <c r="HA52" s="2">
        <f t="shared" si="16"/>
        <v>1142.0904761904758</v>
      </c>
      <c r="HB52" s="2" t="e">
        <f t="shared" si="16"/>
        <v>#DIV/0!</v>
      </c>
      <c r="HC52" s="2">
        <f t="shared" si="16"/>
        <v>0.5</v>
      </c>
      <c r="HD52" s="2">
        <f t="shared" si="16"/>
        <v>48699.277863777083</v>
      </c>
      <c r="HE52" s="2">
        <f t="shared" si="16"/>
        <v>32048.678947368418</v>
      </c>
      <c r="HF52" s="2">
        <f t="shared" si="16"/>
        <v>5350.6301857585131</v>
      </c>
      <c r="HG52" s="2" t="e">
        <f t="shared" si="16"/>
        <v>#DIV/0!</v>
      </c>
      <c r="HH52" s="2">
        <f t="shared" si="16"/>
        <v>0.5</v>
      </c>
      <c r="HI52" s="2">
        <f t="shared" si="16"/>
        <v>40772.017857142855</v>
      </c>
      <c r="HJ52" s="2">
        <f t="shared" si="16"/>
        <v>22885.410714285725</v>
      </c>
      <c r="HK52" s="2">
        <f t="shared" si="16"/>
        <v>4960.3928571428551</v>
      </c>
      <c r="HL52" s="2" t="e">
        <f t="shared" si="16"/>
        <v>#DIV/0!</v>
      </c>
      <c r="HM52" s="2">
        <f t="shared" si="16"/>
        <v>0.5</v>
      </c>
      <c r="HN52" s="2">
        <f t="shared" si="16"/>
        <v>45359.033333333333</v>
      </c>
      <c r="HO52" s="2">
        <f t="shared" si="16"/>
        <v>36223.699999999997</v>
      </c>
      <c r="HP52" s="2">
        <f t="shared" si="16"/>
        <v>7247.9</v>
      </c>
      <c r="HQ52" s="2" t="e">
        <f t="shared" si="16"/>
        <v>#DIV/0!</v>
      </c>
      <c r="HR52" s="2">
        <f t="shared" si="16"/>
        <v>0.5</v>
      </c>
      <c r="HS52" s="2">
        <f t="shared" si="16"/>
        <v>23974.622222222228</v>
      </c>
      <c r="HT52" s="2">
        <f t="shared" si="16"/>
        <v>22966.393939393936</v>
      </c>
      <c r="HU52" s="2">
        <f t="shared" si="16"/>
        <v>3223.8060606060608</v>
      </c>
    </row>
    <row r="55" spans="2:229" x14ac:dyDescent="0.25">
      <c r="EZ55" s="2">
        <v>0.5</v>
      </c>
      <c r="FA55" s="2">
        <v>27449.5</v>
      </c>
      <c r="FB55" s="2">
        <v>48338</v>
      </c>
      <c r="FC55" s="2">
        <v>10810.666666666668</v>
      </c>
      <c r="FD55" s="2" t="e">
        <v>#DIV/0!</v>
      </c>
      <c r="FE55" s="2">
        <v>22</v>
      </c>
      <c r="FF55" s="2">
        <v>36362.15789473684</v>
      </c>
      <c r="FG55" s="2">
        <v>51240.578947368427</v>
      </c>
      <c r="FH55" s="2">
        <v>11750.631578947368</v>
      </c>
      <c r="FI55" s="2" t="e">
        <v>#DIV/0!</v>
      </c>
      <c r="FJ55" s="2">
        <v>22</v>
      </c>
      <c r="FK55" s="2">
        <v>70606.784313725497</v>
      </c>
      <c r="FL55" s="2">
        <v>72945.983660130718</v>
      </c>
      <c r="FM55" s="2">
        <v>16181.091503267973</v>
      </c>
      <c r="FN55" s="2" t="e">
        <v>#DIV/0!</v>
      </c>
      <c r="FO55" s="2">
        <v>22</v>
      </c>
      <c r="FP55" s="2">
        <v>47405.789473684214</v>
      </c>
      <c r="FQ55" s="2">
        <v>55898.68421052632</v>
      </c>
      <c r="FR55" s="2">
        <v>13252.473684210527</v>
      </c>
      <c r="FS55" s="2" t="e">
        <v>#DIV/0!</v>
      </c>
      <c r="FT55" s="2">
        <v>22</v>
      </c>
      <c r="FU55" s="2">
        <v>28570.142857142855</v>
      </c>
      <c r="FV55" s="2">
        <v>50641.142857142855</v>
      </c>
      <c r="FW55" s="2">
        <v>10731.428571428572</v>
      </c>
      <c r="FX55" s="2" t="e">
        <v>#DIV/0!</v>
      </c>
      <c r="FY55" s="2">
        <v>22</v>
      </c>
      <c r="FZ55" s="2">
        <v>29725.285714285714</v>
      </c>
      <c r="GA55" s="2">
        <v>43562.428571428572</v>
      </c>
      <c r="GB55" s="2">
        <v>10647.285714285714</v>
      </c>
      <c r="GC55" s="2" t="e">
        <v>#DIV/0!</v>
      </c>
      <c r="GD55" s="2">
        <v>22</v>
      </c>
      <c r="GE55" s="2">
        <v>39997.117647058825</v>
      </c>
      <c r="GF55" s="2">
        <v>47221.823529411762</v>
      </c>
      <c r="GG55" s="2">
        <v>11652.941176470587</v>
      </c>
      <c r="GH55" s="2" t="e">
        <v>#DIV/0!</v>
      </c>
      <c r="GI55" s="2">
        <v>22</v>
      </c>
      <c r="GJ55" s="2">
        <v>74858.411764705874</v>
      </c>
      <c r="GK55" s="2">
        <v>80141.176470588238</v>
      </c>
      <c r="GL55" s="2">
        <v>16350.705882352941</v>
      </c>
      <c r="GM55" s="2" t="e">
        <v>#DIV/0!</v>
      </c>
      <c r="GN55" s="2">
        <v>22</v>
      </c>
      <c r="GO55" s="2">
        <v>74800.588235294126</v>
      </c>
      <c r="GP55" s="2">
        <v>84732.882352941175</v>
      </c>
      <c r="GQ55" s="2">
        <v>16594.411764705881</v>
      </c>
      <c r="GR55" s="2" t="e">
        <v>#DIV/0!</v>
      </c>
      <c r="GS55" s="2">
        <v>22</v>
      </c>
      <c r="GT55" s="2">
        <v>39273.833333333328</v>
      </c>
      <c r="GU55" s="2">
        <v>48117.333333333336</v>
      </c>
      <c r="GV55" s="2">
        <v>13465.5</v>
      </c>
      <c r="GW55" s="2" t="e">
        <v>#DIV/0!</v>
      </c>
      <c r="GX55" s="2">
        <v>22</v>
      </c>
      <c r="GY55" s="2">
        <v>15550</v>
      </c>
      <c r="GZ55" s="2">
        <v>26172.799999999999</v>
      </c>
      <c r="HA55" s="2">
        <v>7513.4</v>
      </c>
      <c r="HB55" s="2" t="e">
        <v>#DIV/0!</v>
      </c>
      <c r="HC55" s="2">
        <v>22</v>
      </c>
      <c r="HD55" s="2">
        <v>88275.76470588235</v>
      </c>
      <c r="HE55" s="2">
        <v>73726</v>
      </c>
      <c r="HF55" s="2">
        <v>17570.411764705881</v>
      </c>
      <c r="HG55" s="2" t="e">
        <v>#DIV/0!</v>
      </c>
      <c r="HH55" s="2">
        <v>22</v>
      </c>
      <c r="HI55" s="2">
        <v>72840.142857142855</v>
      </c>
      <c r="HJ55" s="2">
        <v>60607.571428571435</v>
      </c>
      <c r="HK55" s="2">
        <v>15569.571428571428</v>
      </c>
      <c r="HL55" s="2" t="e">
        <v>#DIV/0!</v>
      </c>
      <c r="HM55" s="2">
        <v>22</v>
      </c>
      <c r="HN55" s="2">
        <v>67074</v>
      </c>
      <c r="HO55" s="2">
        <v>66502</v>
      </c>
      <c r="HP55" s="2">
        <v>16155.5</v>
      </c>
      <c r="HQ55" s="2" t="e">
        <v>#DIV/0!</v>
      </c>
      <c r="HR55" s="2">
        <v>22</v>
      </c>
      <c r="HS55" s="2">
        <v>46728.788888888892</v>
      </c>
      <c r="HT55" s="2">
        <v>58483.5</v>
      </c>
      <c r="HU55" s="2">
        <v>13460.2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ENERO 2022</vt:lpstr>
      <vt:lpstr>JUNIO 2022</vt:lpstr>
      <vt:lpstr>ENERO 2023</vt:lpstr>
      <vt:lpstr>Promedios</vt:lpstr>
      <vt:lpstr>Crecimiento</vt:lpstr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Daniel Velasco</cp:lastModifiedBy>
  <dcterms:created xsi:type="dcterms:W3CDTF">2023-03-06T03:13:48Z</dcterms:created>
  <dcterms:modified xsi:type="dcterms:W3CDTF">2025-02-05T02:41:20Z</dcterms:modified>
</cp:coreProperties>
</file>